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bas\Desktop\Subject\2026 Sem 2\FIT3179\Assignment 2\Data\"/>
    </mc:Choice>
  </mc:AlternateContent>
  <xr:revisionPtr revIDLastSave="0" documentId="13_ncr:1_{85805D68-5EB9-4C90-A00D-724C6DE4652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C3" i="1"/>
  <c r="D3" i="1"/>
  <c r="B3" i="1"/>
  <c r="D2" i="1" a="1"/>
  <c r="C2" i="1" a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<sst xmlns="http://schemas.openxmlformats.org/spreadsheetml/2006/main" count="24" uniqueCount="12">
  <si>
    <t>State</t>
  </si>
  <si>
    <t>education_2011</t>
  </si>
  <si>
    <t>education_2016</t>
  </si>
  <si>
    <t>education_2021</t>
  </si>
  <si>
    <t>ACT</t>
  </si>
  <si>
    <t>NSW</t>
  </si>
  <si>
    <t>NT</t>
  </si>
  <si>
    <t>QLD</t>
  </si>
  <si>
    <t>SA</t>
  </si>
  <si>
    <t>TAS</t>
  </si>
  <si>
    <t>VIC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</si>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</sst>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2"/>
      <color indexed="12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1"/>
      <color theme="10"/>
      <name val="Arial"/>
      <family val="2"/>
    </font>
    <font>
      <sz val="10"/>
      <color theme="1"/>
      <name val="Calibri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u/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170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" fillId="0" borderId="0">
      <alignment horizontal="left" vertical="center" wrapText="1"/>
    </xf>
    <xf numFmtId="0" fontId="6" fillId="0" borderId="0"/>
    <xf numFmtId="0" fontId="5" fillId="2" borderId="1">
      <alignment vertical="center"/>
      <protection locked="0"/>
    </xf>
    <xf numFmtId="0" fontId="2" fillId="0" borderId="0">
      <alignment horizontal="left" vertical="center" wrapText="1"/>
    </xf>
    <xf numFmtId="0" fontId="5" fillId="0" borderId="0"/>
    <xf numFmtId="0" fontId="6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5" fillId="0" borderId="0"/>
    <xf numFmtId="0" fontId="6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10" fillId="0" borderId="0"/>
    <xf numFmtId="170" fontId="5" fillId="0" borderId="0" applyFont="0" applyFill="0" applyBorder="0" applyAlignment="0" applyProtection="0"/>
    <xf numFmtId="0" fontId="5" fillId="0" borderId="0"/>
    <xf numFmtId="0" fontId="6" fillId="0" borderId="0"/>
  </cellStyleXfs>
  <cellXfs count="4">
    <xf numFmtId="0" fontId="0" fillId="0" borderId="0" xfId="0"/>
    <xf numFmtId="10" fontId="0" fillId="0" borderId="0" xfId="0" applyNumberFormat="1"/>
    <xf numFmtId="3" fontId="4" fillId="0" borderId="0" xfId="18" applyNumberFormat="1" applyFont="1" applyAlignment="1">
      <alignment horizontal="right"/>
    </xf>
    <xf numFmtId="3" fontId="9" fillId="0" borderId="0" xfId="18" applyNumberFormat="1" applyFont="1" applyAlignment="1">
      <alignment horizontal="right"/>
    </xf>
  </cellXfs>
  <cellStyles count="28">
    <cellStyle name="Comma 2" xfId="25" xr:uid="{43EC2920-D544-40B2-9763-293DE51BF572}"/>
    <cellStyle name="Comma 3" xfId="1" xr:uid="{4548E8CF-0B1C-4F78-BD23-77F6947CC355}"/>
    <cellStyle name="Hyperlink" xfId="2" builtinId="8" customBuiltin="1"/>
    <cellStyle name="Hyperlink 2" xfId="15" xr:uid="{63FD2FC7-AD3C-4510-A886-67FA21FE3D8C}"/>
    <cellStyle name="Hyperlink 4" xfId="16" xr:uid="{17DAC743-AF08-48F9-B5EE-D5610830C2E0}"/>
    <cellStyle name="Normal" xfId="0" builtinId="0"/>
    <cellStyle name="Normal 10" xfId="11" xr:uid="{3DA85406-16B1-4FFB-B768-60060E73CBF5}"/>
    <cellStyle name="Normal 11 2 2" xfId="10" xr:uid="{24AEEC76-9620-4790-9C67-3198E2D50F82}"/>
    <cellStyle name="Normal 13" xfId="9" xr:uid="{451B0235-C2A9-44D6-82A2-F83B79BCA6AF}"/>
    <cellStyle name="Normal 2" xfId="7" xr:uid="{C9C48178-27FB-456F-85EA-3B918CDC3C05}"/>
    <cellStyle name="Normal 2 2 2" xfId="14" xr:uid="{2A9D62C6-CFD7-4A07-AE6E-A9FFD7C275DE}"/>
    <cellStyle name="Normal 2 2 3" xfId="18" xr:uid="{90479C77-8A0D-47E3-8045-3F8FE99523AB}"/>
    <cellStyle name="Normal 2 3" xfId="13" xr:uid="{D1FF1A81-A19B-4901-A37B-41D50841B4D0}"/>
    <cellStyle name="Normal 3" xfId="12" xr:uid="{1A8B52ED-0EF3-4D78-A2B1-9E555CDBDC3A}"/>
    <cellStyle name="Normal 3 2" xfId="27" xr:uid="{6969AC43-49F3-492F-96BD-70BB83D6FC26}"/>
    <cellStyle name="Normal 3 2 3" xfId="21" xr:uid="{71E32D7C-B790-4F9F-B1A0-2C3365A30E42}"/>
    <cellStyle name="Normal 3 3" xfId="20" xr:uid="{9C3819CF-94B5-4671-A3D1-E9156C8BC33D}"/>
    <cellStyle name="Normal 4" xfId="17" xr:uid="{CA11B422-F22A-4119-B43C-883F12B531B1}"/>
    <cellStyle name="Normal 4 2" xfId="26" xr:uid="{7BC2173D-BCA6-4B7F-86C5-AA7533B13DF2}"/>
    <cellStyle name="Normal 5 2" xfId="19" xr:uid="{BF5A215D-8114-4216-8ECE-C7A2FD666501}"/>
    <cellStyle name="Normal 6" xfId="24" xr:uid="{46A53F54-5CDF-4445-8983-2F823EDA8C2A}"/>
    <cellStyle name="Normal 7" xfId="22" xr:uid="{9A9B8A63-7836-475C-ADC9-370DC788047F}"/>
    <cellStyle name="Normal 7 2" xfId="23" xr:uid="{A25E4818-1793-43E0-9F04-88061CD46724}"/>
    <cellStyle name="Normal 9" xfId="4" xr:uid="{3B9AB5EA-6EAD-46D5-9C4E-B97653664471}"/>
    <cellStyle name="Normal 9 2" xfId="8" xr:uid="{81EBC1B9-AC21-42D4-9976-C158D0FC23A4}"/>
    <cellStyle name="rowfield" xfId="5" xr:uid="{A74E9494-B4EC-4FE5-8C8D-F8989EF90363}"/>
    <cellStyle name="Style4" xfId="3" xr:uid="{869BE799-E5B2-454A-9630-020353340075}"/>
    <cellStyle name="Style4 2" xfId="6" xr:uid="{11EE440B-3E73-46FE-8961-39494AAE34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1\2011%20ACT.xlsx" TargetMode="External"/><Relationship Id="rId1" Type="http://schemas.openxmlformats.org/officeDocument/2006/relationships/externalLinkPath" Target="Confirmed%20Data/Median%20Ages/2011/2011%20AC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6\2016%20ACT.xlsx" TargetMode="External"/><Relationship Id="rId1" Type="http://schemas.openxmlformats.org/officeDocument/2006/relationships/externalLinkPath" Target="Confirmed%20Data/Median%20Ages/2016/2016%20AC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21\2021%20ACT.xlsx" TargetMode="External"/><Relationship Id="rId1" Type="http://schemas.openxmlformats.org/officeDocument/2006/relationships/externalLinkPath" Target="Confirmed%20Data/Median%20Ages/2021/2021%20AC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1\2011%20NSW.xlsx" TargetMode="External"/><Relationship Id="rId1" Type="http://schemas.openxmlformats.org/officeDocument/2006/relationships/externalLinkPath" Target="Confirmed%20Data/Median%20Ages/2011/2011%20NSW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21\2021%20NSW.xlsx" TargetMode="External"/><Relationship Id="rId1" Type="http://schemas.openxmlformats.org/officeDocument/2006/relationships/externalLinkPath" Target="Confirmed%20Data/Median%20Ages/2021/2021%20NSW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6\2016%20NSW.xlsx" TargetMode="External"/><Relationship Id="rId1" Type="http://schemas.openxmlformats.org/officeDocument/2006/relationships/externalLinkPath" Target="Confirmed%20Data/Median%20Ages/2016/2016%20NSW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1\2011%20NT.xlsx" TargetMode="External"/><Relationship Id="rId1" Type="http://schemas.openxmlformats.org/officeDocument/2006/relationships/externalLinkPath" Target="Confirmed%20Data/Median%20Ages/2011/2011%20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6\2016%20NT.xlsx" TargetMode="External"/><Relationship Id="rId1" Type="http://schemas.openxmlformats.org/officeDocument/2006/relationships/externalLinkPath" Target="Confirmed%20Data/Median%20Ages/2016/2016%20N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21\2021%20NT.xlsx" TargetMode="External"/><Relationship Id="rId1" Type="http://schemas.openxmlformats.org/officeDocument/2006/relationships/externalLinkPath" Target="Confirmed%20Data/Median%20Ages/2021/2021%20N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1\2011%20QLD.xlsx" TargetMode="External"/><Relationship Id="rId1" Type="http://schemas.openxmlformats.org/officeDocument/2006/relationships/externalLinkPath" Target="Confirmed%20Data/Median%20Ages/2011/2011%20QL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6\2016%20QLD.xlsx" TargetMode="External"/><Relationship Id="rId1" Type="http://schemas.openxmlformats.org/officeDocument/2006/relationships/externalLinkPath" Target="Confirmed%20Data/Median%20Ages/2016/2016%20QL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21\2021%20QLD.xlsx" TargetMode="External"/><Relationship Id="rId1" Type="http://schemas.openxmlformats.org/officeDocument/2006/relationships/externalLinkPath" Target="Confirmed%20Data/Median%20Ages/2021/2021%20QL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1\2011%20SA.xlsx" TargetMode="External"/><Relationship Id="rId1" Type="http://schemas.openxmlformats.org/officeDocument/2006/relationships/externalLinkPath" Target="Confirmed%20Data/Median%20Ages/2011/2011%20S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6\2016%20SA.xlsx" TargetMode="External"/><Relationship Id="rId1" Type="http://schemas.openxmlformats.org/officeDocument/2006/relationships/externalLinkPath" Target="Confirmed%20Data/Median%20Ages/2016/2016%20S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21\2021%20SA.xlsx" TargetMode="External"/><Relationship Id="rId1" Type="http://schemas.openxmlformats.org/officeDocument/2006/relationships/externalLinkPath" Target="Confirmed%20Data/Median%20Ages/2021/2021%20S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1\2011%20TAS.xlsx" TargetMode="External"/><Relationship Id="rId1" Type="http://schemas.openxmlformats.org/officeDocument/2006/relationships/externalLinkPath" Target="Confirmed%20Data/Median%20Ages/2011/2011%20TA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6\2016%20TAS.xlsx" TargetMode="External"/><Relationship Id="rId1" Type="http://schemas.openxmlformats.org/officeDocument/2006/relationships/externalLinkPath" Target="Confirmed%20Data/Median%20Ages/2016/2016%20TA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21\2021%20TAS.xlsx" TargetMode="External"/><Relationship Id="rId1" Type="http://schemas.openxmlformats.org/officeDocument/2006/relationships/externalLinkPath" Target="Confirmed%20Data/Median%20Ages/2021/2021%20TA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1\2011%20VIC.xlsx" TargetMode="External"/><Relationship Id="rId1" Type="http://schemas.openxmlformats.org/officeDocument/2006/relationships/externalLinkPath" Target="Confirmed%20Data/Median%20Ages/2011/2011%20VIC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6\2016%20VIC.xlsx" TargetMode="External"/><Relationship Id="rId1" Type="http://schemas.openxmlformats.org/officeDocument/2006/relationships/externalLinkPath" Target="Confirmed%20Data/Median%20Ages/2016/2016%20VIC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21\2021%20VIC.xlsx" TargetMode="External"/><Relationship Id="rId1" Type="http://schemas.openxmlformats.org/officeDocument/2006/relationships/externalLinkPath" Target="Confirmed%20Data/Median%20Ages/2021/2021%20VIC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1\2011%20WA.xlsx" TargetMode="External"/><Relationship Id="rId1" Type="http://schemas.openxmlformats.org/officeDocument/2006/relationships/externalLinkPath" Target="Confirmed%20Data/Median%20Ages/2011/2011%20WA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16\2016%20WA.xlsx" TargetMode="External"/><Relationship Id="rId1" Type="http://schemas.openxmlformats.org/officeDocument/2006/relationships/externalLinkPath" Target="Confirmed%20Data/Median%20Ages/2016/2016%20WA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Median%20Ages\2021\2021%20WA.xlsx" TargetMode="External"/><Relationship Id="rId1" Type="http://schemas.openxmlformats.org/officeDocument/2006/relationships/externalLinkPath" Target="Confirmed%20Data/Median%20Ages/2021/2021%20W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"/>
      <sheetName val="List of Topics (1)"/>
      <sheetName val="List of Topics (2)"/>
      <sheetName val="List of Topics (3)"/>
      <sheetName val="B 01a"/>
      <sheetName val="B 01b"/>
      <sheetName val="B 02"/>
      <sheetName val="B 03"/>
      <sheetName val="B 04"/>
      <sheetName val="B 05"/>
      <sheetName val="B 06"/>
      <sheetName val="B 07"/>
      <sheetName val="B 08"/>
      <sheetName val="B 09"/>
      <sheetName val="B 10a"/>
      <sheetName val="B 10b"/>
      <sheetName val="B 11"/>
      <sheetName val="B 12a"/>
      <sheetName val="B 12b"/>
      <sheetName val="B 12c"/>
      <sheetName val="B 13a"/>
      <sheetName val="B 13b"/>
      <sheetName val="B 14"/>
      <sheetName val="B 15"/>
      <sheetName val="B 16"/>
      <sheetName val="B 17a"/>
      <sheetName val="B 17b"/>
      <sheetName val="B 18"/>
      <sheetName val="B 19"/>
      <sheetName val="B 20"/>
      <sheetName val="B 21"/>
      <sheetName val="B 22"/>
      <sheetName val="B 23a"/>
      <sheetName val="B 23b"/>
      <sheetName val="B 24"/>
      <sheetName val="B 25"/>
      <sheetName val="B 26"/>
      <sheetName val="B 27"/>
      <sheetName val="B 28"/>
      <sheetName val="B 29"/>
      <sheetName val="B 30"/>
      <sheetName val="B 31"/>
      <sheetName val="B 32"/>
      <sheetName val="B 33"/>
      <sheetName val="B 34"/>
      <sheetName val="B 35"/>
      <sheetName val="B 36"/>
      <sheetName val="B 37"/>
      <sheetName val="B 38"/>
      <sheetName val="B 39"/>
      <sheetName val="B 40a"/>
      <sheetName val="B 40b"/>
      <sheetName val="B 41a"/>
      <sheetName val="B 41b"/>
      <sheetName val="B 42a"/>
      <sheetName val="B 42b"/>
      <sheetName val="B 43a"/>
      <sheetName val="B 43b"/>
      <sheetName val="B 43c"/>
      <sheetName val="B 44"/>
      <sheetName val="B 45"/>
      <sheetName val="B 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13">
          <cell r="J13">
            <v>25736</v>
          </cell>
        </row>
        <row r="15">
          <cell r="J15">
            <v>11157</v>
          </cell>
        </row>
        <row r="17">
          <cell r="J17">
            <v>61952</v>
          </cell>
        </row>
        <row r="31">
          <cell r="J31">
            <v>187558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(1) "/>
      <sheetName val="List of Tables (2)"/>
      <sheetName val="List of Topics (1)"/>
      <sheetName val="List of Topics (2)"/>
      <sheetName val="List of Topics (3)"/>
      <sheetName val="G 01a"/>
      <sheetName val="G 01b"/>
      <sheetName val="G 02"/>
      <sheetName val="G 03"/>
      <sheetName val="G 04"/>
      <sheetName val="G 05"/>
      <sheetName val="G 06"/>
      <sheetName val="G 07"/>
      <sheetName val="G 08"/>
      <sheetName val="G 09a"/>
      <sheetName val="G 09b"/>
      <sheetName val="G 09c"/>
      <sheetName val="G 09d"/>
      <sheetName val="G 09e"/>
      <sheetName val="G 09f"/>
      <sheetName val="G 10a"/>
      <sheetName val="G 10b"/>
      <sheetName val="G 11a"/>
      <sheetName val="G 11b"/>
      <sheetName val="G 11c"/>
      <sheetName val="G 12a"/>
      <sheetName val="G 12b"/>
      <sheetName val="G 12c"/>
      <sheetName val="G 13a"/>
      <sheetName val="G 13b"/>
      <sheetName val="G 13c"/>
      <sheetName val="G 13d"/>
      <sheetName val="G 13e"/>
      <sheetName val="G 13f"/>
      <sheetName val="G 14"/>
      <sheetName val="G 15"/>
      <sheetName val="G 16"/>
      <sheetName val="G 17a"/>
      <sheetName val="G 17b"/>
      <sheetName val="G 18"/>
      <sheetName val="G 19"/>
      <sheetName val="G 20"/>
      <sheetName val="G 21"/>
      <sheetName val="G 22"/>
      <sheetName val="G 23a"/>
      <sheetName val="G 23b"/>
      <sheetName val="G 24"/>
      <sheetName val="G 25"/>
      <sheetName val="G 26"/>
      <sheetName val="G 27"/>
      <sheetName val="G 28"/>
      <sheetName val="G 29"/>
      <sheetName val="G 30"/>
      <sheetName val="G 31"/>
      <sheetName val="G 32"/>
      <sheetName val="G 33"/>
      <sheetName val="G 34"/>
      <sheetName val="G 35"/>
      <sheetName val="G 36"/>
      <sheetName val="G 37"/>
      <sheetName val="G 38"/>
      <sheetName val="G 39"/>
      <sheetName val="G 40"/>
      <sheetName val="G 41"/>
      <sheetName val="G 42"/>
      <sheetName val="G 43a"/>
      <sheetName val="G 43b"/>
      <sheetName val="G 44a"/>
      <sheetName val="G 44b"/>
      <sheetName val="G 44c"/>
      <sheetName val="G 44d"/>
      <sheetName val="G 45a"/>
      <sheetName val="G 45b"/>
      <sheetName val="G 46a"/>
      <sheetName val="G 46b"/>
      <sheetName val="G 47a"/>
      <sheetName val="G 47b"/>
      <sheetName val="G 48a"/>
      <sheetName val="G 48b"/>
      <sheetName val="G 49a"/>
      <sheetName val="G 49b"/>
      <sheetName val="G 49c"/>
      <sheetName val="G 50a"/>
      <sheetName val="G 50b"/>
      <sheetName val="G 50c"/>
      <sheetName val="G 51a"/>
      <sheetName val="G 51b"/>
      <sheetName val="G 51c"/>
      <sheetName val="G 52a"/>
      <sheetName val="G 52b"/>
      <sheetName val="G 52c"/>
      <sheetName val="G 53"/>
      <sheetName val="G 54"/>
      <sheetName val="G 55"/>
      <sheetName val="G 56"/>
      <sheetName val="G 57"/>
      <sheetName val="G 58"/>
      <sheetName val="G 5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3">
          <cell r="J13">
            <v>34819</v>
          </cell>
        </row>
        <row r="15">
          <cell r="J15">
            <v>13412</v>
          </cell>
        </row>
        <row r="17">
          <cell r="J17">
            <v>71685</v>
          </cell>
        </row>
        <row r="31">
          <cell r="J31">
            <v>219643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List of tables"/>
      <sheetName val="List of topics"/>
      <sheetName val="G01"/>
      <sheetName val="G02"/>
      <sheetName val="G03"/>
      <sheetName val="G04"/>
      <sheetName val="G05"/>
      <sheetName val="G06"/>
      <sheetName val="G07"/>
      <sheetName val="G08"/>
      <sheetName val="G09a"/>
      <sheetName val="G09b"/>
      <sheetName val="G09c"/>
      <sheetName val="G10"/>
      <sheetName val="G11a"/>
      <sheetName val="G11b"/>
      <sheetName val="G12a"/>
      <sheetName val="G12b"/>
      <sheetName val="G13a"/>
      <sheetName val="G13b"/>
      <sheetName val="G13c"/>
      <sheetName val="G14"/>
      <sheetName val="G15"/>
      <sheetName val="G16"/>
      <sheetName val="G17"/>
      <sheetName val="G18"/>
      <sheetName val="G19"/>
      <sheetName val="G20"/>
      <sheetName val="G21"/>
      <sheetName val="G22"/>
      <sheetName val="G23"/>
      <sheetName val="G24"/>
      <sheetName val="G25"/>
      <sheetName val="G26"/>
      <sheetName val="G27"/>
      <sheetName val="G28"/>
      <sheetName val="G29"/>
      <sheetName val="G30"/>
      <sheetName val="G31"/>
      <sheetName val="G32"/>
      <sheetName val="G33"/>
      <sheetName val="G34"/>
      <sheetName val="G35"/>
      <sheetName val="G36"/>
      <sheetName val="G37"/>
      <sheetName val="G38"/>
      <sheetName val="G39"/>
      <sheetName val="G40"/>
      <sheetName val="G41"/>
      <sheetName val="G42"/>
      <sheetName val="G43"/>
      <sheetName val="G44"/>
      <sheetName val="G45"/>
      <sheetName val="G46"/>
      <sheetName val="G47a"/>
      <sheetName val="G47b"/>
      <sheetName val="G48"/>
      <sheetName val="G49"/>
      <sheetName val="G50"/>
      <sheetName val="G51"/>
      <sheetName val="G52"/>
      <sheetName val="G53"/>
      <sheetName val="G54"/>
      <sheetName val="G55"/>
      <sheetName val="G56"/>
      <sheetName val="G57"/>
      <sheetName val="G58"/>
      <sheetName val="G59"/>
      <sheetName val="G60"/>
      <sheetName val="G61"/>
      <sheetName val="G6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57">
          <cell r="J57">
            <v>52777</v>
          </cell>
        </row>
        <row r="59">
          <cell r="J59">
            <v>16818</v>
          </cell>
        </row>
        <row r="61">
          <cell r="J61">
            <v>89954</v>
          </cell>
        </row>
        <row r="75">
          <cell r="J75">
            <v>265266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"/>
      <sheetName val="List of Topics (1)"/>
      <sheetName val="List of Topics (2)"/>
      <sheetName val="List of Topics (3)"/>
      <sheetName val="B 01a"/>
      <sheetName val="B 01b"/>
      <sheetName val="B 02"/>
      <sheetName val="B 03"/>
      <sheetName val="B 04"/>
      <sheetName val="B 05"/>
      <sheetName val="B 06"/>
      <sheetName val="B 07"/>
      <sheetName val="B 08"/>
      <sheetName val="B 09"/>
      <sheetName val="B 10a"/>
      <sheetName val="B 10b"/>
      <sheetName val="B 11"/>
      <sheetName val="B 12a"/>
      <sheetName val="B 12b"/>
      <sheetName val="B 12c"/>
      <sheetName val="B 13a"/>
      <sheetName val="B 13b"/>
      <sheetName val="B 14"/>
      <sheetName val="B 15"/>
      <sheetName val="B 16"/>
      <sheetName val="B 17a"/>
      <sheetName val="B 17b"/>
      <sheetName val="B 18"/>
      <sheetName val="B 19"/>
      <sheetName val="B 20"/>
      <sheetName val="B 21"/>
      <sheetName val="B 22"/>
      <sheetName val="B 23a"/>
      <sheetName val="B 23b"/>
      <sheetName val="B 24"/>
      <sheetName val="B 25"/>
      <sheetName val="B 26"/>
      <sheetName val="B 27"/>
      <sheetName val="B 28"/>
      <sheetName val="B 29"/>
      <sheetName val="B 30"/>
      <sheetName val="B 31"/>
      <sheetName val="B 32"/>
      <sheetName val="B 33"/>
      <sheetName val="B 34"/>
      <sheetName val="B 35"/>
      <sheetName val="B 36"/>
      <sheetName val="B 37"/>
      <sheetName val="B 38"/>
      <sheetName val="B 39"/>
      <sheetName val="B 40a"/>
      <sheetName val="B 40b"/>
      <sheetName val="B 41a"/>
      <sheetName val="B 41b"/>
      <sheetName val="B 42a"/>
      <sheetName val="B 42b"/>
      <sheetName val="B 43a"/>
      <sheetName val="B 43b"/>
      <sheetName val="B 43c"/>
      <sheetName val="B 44"/>
      <sheetName val="B 45"/>
      <sheetName val="B 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13">
          <cell r="J13">
            <v>238851</v>
          </cell>
        </row>
        <row r="15">
          <cell r="J15">
            <v>82617</v>
          </cell>
        </row>
        <row r="17">
          <cell r="J17">
            <v>787336</v>
          </cell>
        </row>
        <row r="31">
          <cell r="J31">
            <v>3196924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List of tables"/>
      <sheetName val="List of topics"/>
      <sheetName val="G01"/>
      <sheetName val="G02"/>
      <sheetName val="G03"/>
      <sheetName val="G04"/>
      <sheetName val="G05"/>
      <sheetName val="G06"/>
      <sheetName val="G07"/>
      <sheetName val="G08"/>
      <sheetName val="G09a"/>
      <sheetName val="G09b"/>
      <sheetName val="G09c"/>
      <sheetName val="G10"/>
      <sheetName val="G11a"/>
      <sheetName val="G11b"/>
      <sheetName val="G12a"/>
      <sheetName val="G12b"/>
      <sheetName val="G13a"/>
      <sheetName val="G13b"/>
      <sheetName val="G13c"/>
      <sheetName val="G14"/>
      <sheetName val="G15"/>
      <sheetName val="G16"/>
      <sheetName val="G17"/>
      <sheetName val="G18"/>
      <sheetName val="G19"/>
      <sheetName val="G20"/>
      <sheetName val="G21"/>
      <sheetName val="G22"/>
      <sheetName val="G23"/>
      <sheetName val="G24"/>
      <sheetName val="G25"/>
      <sheetName val="G26"/>
      <sheetName val="G27"/>
      <sheetName val="G28"/>
      <sheetName val="G29"/>
      <sheetName val="G30"/>
      <sheetName val="G31"/>
      <sheetName val="G32"/>
      <sheetName val="G33"/>
      <sheetName val="G34"/>
      <sheetName val="G35"/>
      <sheetName val="G36"/>
      <sheetName val="G37"/>
      <sheetName val="G38"/>
      <sheetName val="G39"/>
      <sheetName val="G40"/>
      <sheetName val="G41"/>
      <sheetName val="G42"/>
      <sheetName val="G43"/>
      <sheetName val="G44"/>
      <sheetName val="G45"/>
      <sheetName val="G46"/>
      <sheetName val="G47a"/>
      <sheetName val="G47b"/>
      <sheetName val="G48"/>
      <sheetName val="G49"/>
      <sheetName val="G50"/>
      <sheetName val="G51"/>
      <sheetName val="G52"/>
      <sheetName val="G53"/>
      <sheetName val="G54"/>
      <sheetName val="G55"/>
      <sheetName val="G56"/>
      <sheetName val="G57"/>
      <sheetName val="G58"/>
      <sheetName val="G59"/>
      <sheetName val="G60"/>
      <sheetName val="G61"/>
      <sheetName val="G6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57">
          <cell r="J57">
            <v>485845</v>
          </cell>
        </row>
        <row r="59">
          <cell r="J59">
            <v>135609</v>
          </cell>
        </row>
        <row r="61">
          <cell r="J61">
            <v>1217048</v>
          </cell>
        </row>
        <row r="75">
          <cell r="J75">
            <v>4231474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(1) "/>
      <sheetName val="List of Tables (2)"/>
      <sheetName val="List of Topics (1)"/>
      <sheetName val="List of Topics (2)"/>
      <sheetName val="List of Topics (3)"/>
      <sheetName val="G 01a"/>
      <sheetName val="G 01b"/>
      <sheetName val="G 02"/>
      <sheetName val="G 03"/>
      <sheetName val="G 04"/>
      <sheetName val="G 05"/>
      <sheetName val="G 06"/>
      <sheetName val="G 07"/>
      <sheetName val="G 08"/>
      <sheetName val="G 09a"/>
      <sheetName val="G 09b"/>
      <sheetName val="G 09c"/>
      <sheetName val="G 09d"/>
      <sheetName val="G 09e"/>
      <sheetName val="G 09f"/>
      <sheetName val="G 10a"/>
      <sheetName val="G 10b"/>
      <sheetName val="G 11a"/>
      <sheetName val="G 11b"/>
      <sheetName val="G 11c"/>
      <sheetName val="G 12a"/>
      <sheetName val="G 12b"/>
      <sheetName val="G 12c"/>
      <sheetName val="G 13a"/>
      <sheetName val="G 13b"/>
      <sheetName val="G 13c"/>
      <sheetName val="G 13d"/>
      <sheetName val="G 13e"/>
      <sheetName val="G 13f"/>
      <sheetName val="G 14"/>
      <sheetName val="G 15"/>
      <sheetName val="G 16"/>
      <sheetName val="G 17a"/>
      <sheetName val="G 17b"/>
      <sheetName val="G 18"/>
      <sheetName val="G 19"/>
      <sheetName val="G 20"/>
      <sheetName val="G 21"/>
      <sheetName val="G 22"/>
      <sheetName val="G 23a"/>
      <sheetName val="G 23b"/>
      <sheetName val="G 24"/>
      <sheetName val="G 25"/>
      <sheetName val="G 26"/>
      <sheetName val="G 27"/>
      <sheetName val="G 28"/>
      <sheetName val="G 29"/>
      <sheetName val="G 30"/>
      <sheetName val="G 31"/>
      <sheetName val="G 32"/>
      <sheetName val="G 33"/>
      <sheetName val="G 34"/>
      <sheetName val="G 35"/>
      <sheetName val="G 36"/>
      <sheetName val="G 37"/>
      <sheetName val="G 38"/>
      <sheetName val="G 39"/>
      <sheetName val="G 40"/>
      <sheetName val="G 41"/>
      <sheetName val="G 42"/>
      <sheetName val="G 43a"/>
      <sheetName val="G 43b"/>
      <sheetName val="G 44a"/>
      <sheetName val="G 44b"/>
      <sheetName val="G 44c"/>
      <sheetName val="G 44d"/>
      <sheetName val="G 45a"/>
      <sheetName val="G 45b"/>
      <sheetName val="G 46a"/>
      <sheetName val="G 46b"/>
      <sheetName val="G 47a"/>
      <sheetName val="G 47b"/>
      <sheetName val="G 48a"/>
      <sheetName val="G 48b"/>
      <sheetName val="G 49a"/>
      <sheetName val="G 49b"/>
      <sheetName val="G 49c"/>
      <sheetName val="G 50a"/>
      <sheetName val="G 50b"/>
      <sheetName val="G 50c"/>
      <sheetName val="G 51a"/>
      <sheetName val="G 51b"/>
      <sheetName val="G 51c"/>
      <sheetName val="G 52a"/>
      <sheetName val="G 52b"/>
      <sheetName val="G 52c"/>
      <sheetName val="G 53"/>
      <sheetName val="G 54"/>
      <sheetName val="G 55"/>
      <sheetName val="G 56"/>
      <sheetName val="G 57"/>
      <sheetName val="G 58"/>
      <sheetName val="G 5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35">
          <cell r="J35">
            <v>170384</v>
          </cell>
        </row>
        <row r="37">
          <cell r="J37">
            <v>64998</v>
          </cell>
        </row>
        <row r="39">
          <cell r="J39">
            <v>543936</v>
          </cell>
        </row>
        <row r="53">
          <cell r="J53">
            <v>1848473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"/>
      <sheetName val="List of Topics (1)"/>
      <sheetName val="List of Topics (2)"/>
      <sheetName val="List of Topics (3)"/>
      <sheetName val="B 01a"/>
      <sheetName val="B 01b"/>
      <sheetName val="B 02"/>
      <sheetName val="B 03"/>
      <sheetName val="B 04"/>
      <sheetName val="B 05"/>
      <sheetName val="B 06"/>
      <sheetName val="B 07"/>
      <sheetName val="B 08"/>
      <sheetName val="B 09"/>
      <sheetName val="B 10a"/>
      <sheetName val="B 10b"/>
      <sheetName val="B 11"/>
      <sheetName val="B 12a"/>
      <sheetName val="B 12b"/>
      <sheetName val="B 12c"/>
      <sheetName val="B 13a"/>
      <sheetName val="B 13b"/>
      <sheetName val="B 14"/>
      <sheetName val="B 15"/>
      <sheetName val="B 16"/>
      <sheetName val="B 17a"/>
      <sheetName val="B 17b"/>
      <sheetName val="B 18"/>
      <sheetName val="B 19"/>
      <sheetName val="B 20"/>
      <sheetName val="B 21"/>
      <sheetName val="B 22"/>
      <sheetName val="B 23a"/>
      <sheetName val="B 23b"/>
      <sheetName val="B 24"/>
      <sheetName val="B 25"/>
      <sheetName val="B 26"/>
      <sheetName val="B 27"/>
      <sheetName val="B 28"/>
      <sheetName val="B 29"/>
      <sheetName val="B 30"/>
      <sheetName val="B 31"/>
      <sheetName val="B 32"/>
      <sheetName val="B 33"/>
      <sheetName val="B 34"/>
      <sheetName val="B 35"/>
      <sheetName val="B 36"/>
      <sheetName val="B 37"/>
      <sheetName val="B 38"/>
      <sheetName val="B 39"/>
      <sheetName val="B 40a"/>
      <sheetName val="B 40b"/>
      <sheetName val="B 41a"/>
      <sheetName val="B 41b"/>
      <sheetName val="B 42a"/>
      <sheetName val="B 42b"/>
      <sheetName val="B 43a"/>
      <sheetName val="B 43b"/>
      <sheetName val="B 43c"/>
      <sheetName val="B 44"/>
      <sheetName val="B 45"/>
      <sheetName val="B 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13">
          <cell r="J13">
            <v>4308</v>
          </cell>
        </row>
        <row r="15">
          <cell r="J15">
            <v>2920</v>
          </cell>
        </row>
        <row r="17">
          <cell r="J17">
            <v>16959</v>
          </cell>
        </row>
        <row r="31">
          <cell r="J31">
            <v>92038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(1) "/>
      <sheetName val="List of Tables (2)"/>
      <sheetName val="List of Topics (1)"/>
      <sheetName val="List of Topics (2)"/>
      <sheetName val="List of Topics (3)"/>
      <sheetName val="G 01a"/>
      <sheetName val="G 01b"/>
      <sheetName val="G 02"/>
      <sheetName val="G 03"/>
      <sheetName val="G 04"/>
      <sheetName val="G 05"/>
      <sheetName val="G 06"/>
      <sheetName val="G 07"/>
      <sheetName val="G 08"/>
      <sheetName val="G 09a"/>
      <sheetName val="G 09b"/>
      <sheetName val="G 09c"/>
      <sheetName val="G 09d"/>
      <sheetName val="G 09e"/>
      <sheetName val="G 09f"/>
      <sheetName val="G 10a"/>
      <sheetName val="G 10b"/>
      <sheetName val="G 11a"/>
      <sheetName val="G 11b"/>
      <sheetName val="G 11c"/>
      <sheetName val="G 12a"/>
      <sheetName val="G 12b"/>
      <sheetName val="G 12c"/>
      <sheetName val="G 13a"/>
      <sheetName val="G 13b"/>
      <sheetName val="G 13c"/>
      <sheetName val="G 13d"/>
      <sheetName val="G 13e"/>
      <sheetName val="G 13f"/>
      <sheetName val="G 14"/>
      <sheetName val="G 15"/>
      <sheetName val="G 16"/>
      <sheetName val="G 17a"/>
      <sheetName val="G 17b"/>
      <sheetName val="G 18"/>
      <sheetName val="G 19"/>
      <sheetName val="G 20"/>
      <sheetName val="G 21"/>
      <sheetName val="G 22"/>
      <sheetName val="G 23a"/>
      <sheetName val="G 23b"/>
      <sheetName val="G 24"/>
      <sheetName val="G 25"/>
      <sheetName val="G 26"/>
      <sheetName val="G 27"/>
      <sheetName val="G 28"/>
      <sheetName val="G 29"/>
      <sheetName val="G 30"/>
      <sheetName val="G 31"/>
      <sheetName val="G 32"/>
      <sheetName val="G 33"/>
      <sheetName val="G 34"/>
      <sheetName val="G 35"/>
      <sheetName val="G 36"/>
      <sheetName val="G 37"/>
      <sheetName val="G 38"/>
      <sheetName val="G 39"/>
      <sheetName val="G 40"/>
      <sheetName val="G 41"/>
      <sheetName val="G 42"/>
      <sheetName val="G 43a"/>
      <sheetName val="G 43b"/>
      <sheetName val="G 44a"/>
      <sheetName val="G 44b"/>
      <sheetName val="G 44c"/>
      <sheetName val="G 44d"/>
      <sheetName val="G 45a"/>
      <sheetName val="G 45b"/>
      <sheetName val="G 46a"/>
      <sheetName val="G 46b"/>
      <sheetName val="G 47a"/>
      <sheetName val="G 47b"/>
      <sheetName val="G 48a"/>
      <sheetName val="G 48b"/>
      <sheetName val="G 49a"/>
      <sheetName val="G 49b"/>
      <sheetName val="G 49c"/>
      <sheetName val="G 50a"/>
      <sheetName val="G 50b"/>
      <sheetName val="G 50c"/>
      <sheetName val="G 51a"/>
      <sheetName val="G 51b"/>
      <sheetName val="G 51c"/>
      <sheetName val="G 52a"/>
      <sheetName val="G 52b"/>
      <sheetName val="G 52c"/>
      <sheetName val="G 53"/>
      <sheetName val="G 54"/>
      <sheetName val="G 55"/>
      <sheetName val="G 56"/>
      <sheetName val="G 57"/>
      <sheetName val="G 58"/>
      <sheetName val="G 5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3">
          <cell r="J13">
            <v>6298</v>
          </cell>
        </row>
        <row r="15">
          <cell r="J15">
            <v>3519</v>
          </cell>
        </row>
        <row r="17">
          <cell r="J17">
            <v>20899</v>
          </cell>
        </row>
        <row r="31">
          <cell r="J31">
            <v>111547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List of tables"/>
      <sheetName val="List of topics"/>
      <sheetName val="G01"/>
      <sheetName val="G02"/>
      <sheetName val="G03"/>
      <sheetName val="G04"/>
      <sheetName val="G05"/>
      <sheetName val="G06"/>
      <sheetName val="G07"/>
      <sheetName val="G08"/>
      <sheetName val="G09a"/>
      <sheetName val="G09b"/>
      <sheetName val="G09c"/>
      <sheetName val="G10"/>
      <sheetName val="G11a"/>
      <sheetName val="G11b"/>
      <sheetName val="G12a"/>
      <sheetName val="G12b"/>
      <sheetName val="G13a"/>
      <sheetName val="G13b"/>
      <sheetName val="G13c"/>
      <sheetName val="G14"/>
      <sheetName val="G15"/>
      <sheetName val="G16"/>
      <sheetName val="G17"/>
      <sheetName val="G18"/>
      <sheetName val="G19"/>
      <sheetName val="G20"/>
      <sheetName val="G21"/>
      <sheetName val="G22"/>
      <sheetName val="G23"/>
      <sheetName val="G24"/>
      <sheetName val="G25"/>
      <sheetName val="G26"/>
      <sheetName val="G27"/>
      <sheetName val="G28"/>
      <sheetName val="G29"/>
      <sheetName val="G30"/>
      <sheetName val="G31"/>
      <sheetName val="G32"/>
      <sheetName val="G33"/>
      <sheetName val="G34"/>
      <sheetName val="G35"/>
      <sheetName val="G36"/>
      <sheetName val="G37"/>
      <sheetName val="G38"/>
      <sheetName val="G39"/>
      <sheetName val="G40"/>
      <sheetName val="G41"/>
      <sheetName val="G42"/>
      <sheetName val="G43"/>
      <sheetName val="G44"/>
      <sheetName val="G45"/>
      <sheetName val="G46"/>
      <sheetName val="G47a"/>
      <sheetName val="G47b"/>
      <sheetName val="G48"/>
      <sheetName val="G49"/>
      <sheetName val="G50"/>
      <sheetName val="G51"/>
      <sheetName val="G52"/>
      <sheetName val="G53"/>
      <sheetName val="G54"/>
      <sheetName val="G55"/>
      <sheetName val="G56"/>
      <sheetName val="G57"/>
      <sheetName val="G58"/>
      <sheetName val="G59"/>
      <sheetName val="G60"/>
      <sheetName val="G61"/>
      <sheetName val="G6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57">
          <cell r="J57">
            <v>10260</v>
          </cell>
        </row>
        <row r="59">
          <cell r="J59">
            <v>4302</v>
          </cell>
        </row>
        <row r="61">
          <cell r="J61">
            <v>24866</v>
          </cell>
        </row>
        <row r="75">
          <cell r="J75">
            <v>112338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"/>
      <sheetName val="List of Topics (1)"/>
      <sheetName val="List of Topics (2)"/>
      <sheetName val="List of Topics (3)"/>
      <sheetName val="B 01a"/>
      <sheetName val="B 01b"/>
      <sheetName val="B 02"/>
      <sheetName val="B 03"/>
      <sheetName val="B 04"/>
      <sheetName val="B 05"/>
      <sheetName val="B 06"/>
      <sheetName val="B 07"/>
      <sheetName val="B 08"/>
      <sheetName val="B 09"/>
      <sheetName val="B 10a"/>
      <sheetName val="B 10b"/>
      <sheetName val="B 11"/>
      <sheetName val="B 12a"/>
      <sheetName val="B 12b"/>
      <sheetName val="B 12c"/>
      <sheetName val="B 13a"/>
      <sheetName val="B 13b"/>
      <sheetName val="B 14"/>
      <sheetName val="B 15"/>
      <sheetName val="B 16"/>
      <sheetName val="B 17a"/>
      <sheetName val="B 17b"/>
      <sheetName val="B 18"/>
      <sheetName val="B 19"/>
      <sheetName val="B 20"/>
      <sheetName val="B 21"/>
      <sheetName val="B 22"/>
      <sheetName val="B 23a"/>
      <sheetName val="B 23b"/>
      <sheetName val="B 24"/>
      <sheetName val="B 25"/>
      <sheetName val="B 26"/>
      <sheetName val="B 27"/>
      <sheetName val="B 28"/>
      <sheetName val="B 29"/>
      <sheetName val="B 30"/>
      <sheetName val="B 31"/>
      <sheetName val="B 32"/>
      <sheetName val="B 33"/>
      <sheetName val="B 34"/>
      <sheetName val="B 35"/>
      <sheetName val="B 36"/>
      <sheetName val="B 37"/>
      <sheetName val="B 38"/>
      <sheetName val="B 39"/>
      <sheetName val="B 40a"/>
      <sheetName val="B 40b"/>
      <sheetName val="B 41a"/>
      <sheetName val="B 41b"/>
      <sheetName val="B 42a"/>
      <sheetName val="B 42b"/>
      <sheetName val="B 43a"/>
      <sheetName val="B 43b"/>
      <sheetName val="B 43c"/>
      <sheetName val="B 44"/>
      <sheetName val="B 45"/>
      <sheetName val="B 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13">
          <cell r="J13">
            <v>94647</v>
          </cell>
        </row>
        <row r="15">
          <cell r="J15">
            <v>49476</v>
          </cell>
        </row>
        <row r="17">
          <cell r="J17">
            <v>404771</v>
          </cell>
        </row>
        <row r="31">
          <cell r="J31">
            <v>1875323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(1) "/>
      <sheetName val="List of Tables (2)"/>
      <sheetName val="List of Topics (1)"/>
      <sheetName val="List of Topics (2)"/>
      <sheetName val="List of Topics (3)"/>
      <sheetName val="G 01a"/>
      <sheetName val="G 01b"/>
      <sheetName val="G 02"/>
      <sheetName val="G 03"/>
      <sheetName val="G 04"/>
      <sheetName val="G 05"/>
      <sheetName val="G 06"/>
      <sheetName val="G 07"/>
      <sheetName val="G 08"/>
      <sheetName val="G 09a"/>
      <sheetName val="G 09b"/>
      <sheetName val="G 09c"/>
      <sheetName val="G 09d"/>
      <sheetName val="G 09e"/>
      <sheetName val="G 09f"/>
      <sheetName val="G 10a"/>
      <sheetName val="G 10b"/>
      <sheetName val="G 11a"/>
      <sheetName val="G 11b"/>
      <sheetName val="G 11c"/>
      <sheetName val="G 12a"/>
      <sheetName val="G 12b"/>
      <sheetName val="G 12c"/>
      <sheetName val="G 13a"/>
      <sheetName val="G 13b"/>
      <sheetName val="G 13c"/>
      <sheetName val="G 13d"/>
      <sheetName val="G 13e"/>
      <sheetName val="G 13f"/>
      <sheetName val="G 14"/>
      <sheetName val="G 15"/>
      <sheetName val="G 16"/>
      <sheetName val="G 17a"/>
      <sheetName val="G 17b"/>
      <sheetName val="G 18"/>
      <sheetName val="G 19"/>
      <sheetName val="G 20"/>
      <sheetName val="G 21"/>
      <sheetName val="G 22"/>
      <sheetName val="G 23a"/>
      <sheetName val="G 23b"/>
      <sheetName val="G 24"/>
      <sheetName val="G 25"/>
      <sheetName val="G 26"/>
      <sheetName val="G 27"/>
      <sheetName val="G 28"/>
      <sheetName val="G 29"/>
      <sheetName val="G 30"/>
      <sheetName val="G 31"/>
      <sheetName val="G 32"/>
      <sheetName val="G 33"/>
      <sheetName val="G 34"/>
      <sheetName val="G 35"/>
      <sheetName val="G 36"/>
      <sheetName val="G 37"/>
      <sheetName val="G 38"/>
      <sheetName val="G 39"/>
      <sheetName val="G 40"/>
      <sheetName val="G 41"/>
      <sheetName val="G 42"/>
      <sheetName val="G 43a"/>
      <sheetName val="G 43b"/>
      <sheetName val="G 44a"/>
      <sheetName val="G 44b"/>
      <sheetName val="G 44c"/>
      <sheetName val="G 44d"/>
      <sheetName val="G 45a"/>
      <sheetName val="G 45b"/>
      <sheetName val="G 46a"/>
      <sheetName val="G 46b"/>
      <sheetName val="G 47a"/>
      <sheetName val="G 47b"/>
      <sheetName val="G 48a"/>
      <sheetName val="G 48b"/>
      <sheetName val="G 49a"/>
      <sheetName val="G 49b"/>
      <sheetName val="G 49c"/>
      <sheetName val="G 50a"/>
      <sheetName val="G 50b"/>
      <sheetName val="G 50c"/>
      <sheetName val="G 51a"/>
      <sheetName val="G 51b"/>
      <sheetName val="G 51c"/>
      <sheetName val="G 52a"/>
      <sheetName val="G 52b"/>
      <sheetName val="G 52c"/>
      <sheetName val="G 53"/>
      <sheetName val="G 54"/>
      <sheetName val="G 55"/>
      <sheetName val="G 56"/>
      <sheetName val="G 57"/>
      <sheetName val="G 58"/>
      <sheetName val="G 5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3">
          <cell r="J13">
            <v>134242</v>
          </cell>
        </row>
        <row r="15">
          <cell r="J15">
            <v>66741</v>
          </cell>
        </row>
        <row r="17">
          <cell r="J17">
            <v>492427</v>
          </cell>
        </row>
        <row r="31">
          <cell r="J31">
            <v>2241124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List of tables"/>
      <sheetName val="List of topics"/>
      <sheetName val="G01"/>
      <sheetName val="G02"/>
      <sheetName val="G03"/>
      <sheetName val="G04"/>
      <sheetName val="G05"/>
      <sheetName val="G06"/>
      <sheetName val="G07"/>
      <sheetName val="G08"/>
      <sheetName val="G09a"/>
      <sheetName val="G09b"/>
      <sheetName val="G09c"/>
      <sheetName val="G10"/>
      <sheetName val="G11a"/>
      <sheetName val="G11b"/>
      <sheetName val="G12a"/>
      <sheetName val="G12b"/>
      <sheetName val="G13a"/>
      <sheetName val="G13b"/>
      <sheetName val="G13c"/>
      <sheetName val="G14"/>
      <sheetName val="G15"/>
      <sheetName val="G16"/>
      <sheetName val="G17"/>
      <sheetName val="G18"/>
      <sheetName val="G19"/>
      <sheetName val="G20"/>
      <sheetName val="G21"/>
      <sheetName val="G22"/>
      <sheetName val="G23"/>
      <sheetName val="G24"/>
      <sheetName val="G25"/>
      <sheetName val="G26"/>
      <sheetName val="G27"/>
      <sheetName val="G28"/>
      <sheetName val="G29"/>
      <sheetName val="G30"/>
      <sheetName val="G31"/>
      <sheetName val="G32"/>
      <sheetName val="G33"/>
      <sheetName val="G34"/>
      <sheetName val="G35"/>
      <sheetName val="G36"/>
      <sheetName val="G37"/>
      <sheetName val="G38"/>
      <sheetName val="G39"/>
      <sheetName val="G40"/>
      <sheetName val="G41"/>
      <sheetName val="G42"/>
      <sheetName val="G43"/>
      <sheetName val="G44"/>
      <sheetName val="G45"/>
      <sheetName val="G46"/>
      <sheetName val="G47a"/>
      <sheetName val="G47b"/>
      <sheetName val="G48"/>
      <sheetName val="G49"/>
      <sheetName val="G50"/>
      <sheetName val="G51"/>
      <sheetName val="G52"/>
      <sheetName val="G53"/>
      <sheetName val="G54"/>
      <sheetName val="G55"/>
      <sheetName val="G56"/>
      <sheetName val="G57"/>
      <sheetName val="G58"/>
      <sheetName val="G59"/>
      <sheetName val="G60"/>
      <sheetName val="G61"/>
      <sheetName val="G6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57">
          <cell r="J57">
            <v>196928</v>
          </cell>
        </row>
        <row r="59">
          <cell r="J59">
            <v>92233</v>
          </cell>
        </row>
        <row r="61">
          <cell r="J61">
            <v>629307</v>
          </cell>
        </row>
        <row r="75">
          <cell r="J75">
            <v>2618666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"/>
      <sheetName val="List of Topics (1)"/>
      <sheetName val="List of Topics (2)"/>
      <sheetName val="List of Topics (3)"/>
      <sheetName val="B 01a"/>
      <sheetName val="B 01b"/>
      <sheetName val="B 02"/>
      <sheetName val="B 03"/>
      <sheetName val="B 04"/>
      <sheetName val="B 05"/>
      <sheetName val="B 06"/>
      <sheetName val="B 07"/>
      <sheetName val="B 08"/>
      <sheetName val="B 09"/>
      <sheetName val="B 10a"/>
      <sheetName val="B 10b"/>
      <sheetName val="B 11"/>
      <sheetName val="B 12a"/>
      <sheetName val="B 12b"/>
      <sheetName val="B 12c"/>
      <sheetName val="B 13a"/>
      <sheetName val="B 13b"/>
      <sheetName val="B 14"/>
      <sheetName val="B 15"/>
      <sheetName val="B 16"/>
      <sheetName val="B 17a"/>
      <sheetName val="B 17b"/>
      <sheetName val="B 18"/>
      <sheetName val="B 19"/>
      <sheetName val="B 20"/>
      <sheetName val="B 21"/>
      <sheetName val="B 22"/>
      <sheetName val="B 23a"/>
      <sheetName val="B 23b"/>
      <sheetName val="B 24"/>
      <sheetName val="B 25"/>
      <sheetName val="B 26"/>
      <sheetName val="B 27"/>
      <sheetName val="B 28"/>
      <sheetName val="B 29"/>
      <sheetName val="B 30"/>
      <sheetName val="B 31"/>
      <sheetName val="B 32"/>
      <sheetName val="B 33"/>
      <sheetName val="B 34"/>
      <sheetName val="B 35"/>
      <sheetName val="B 36"/>
      <sheetName val="B 37"/>
      <sheetName val="B 38"/>
      <sheetName val="B 39"/>
      <sheetName val="B 40a"/>
      <sheetName val="B 40b"/>
      <sheetName val="B 41a"/>
      <sheetName val="B 41b"/>
      <sheetName val="B 42a"/>
      <sheetName val="B 42b"/>
      <sheetName val="B 43a"/>
      <sheetName val="B 43b"/>
      <sheetName val="B 43c"/>
      <sheetName val="B 44"/>
      <sheetName val="B 45"/>
      <sheetName val="B 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13">
          <cell r="J13">
            <v>36000</v>
          </cell>
        </row>
        <row r="15">
          <cell r="J15">
            <v>20273</v>
          </cell>
        </row>
        <row r="17">
          <cell r="J17">
            <v>152185</v>
          </cell>
        </row>
        <row r="31">
          <cell r="J31">
            <v>680210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(1) "/>
      <sheetName val="List of Tables (2)"/>
      <sheetName val="List of Topics (1)"/>
      <sheetName val="List of Topics (2)"/>
      <sheetName val="List of Topics (3)"/>
      <sheetName val="G 01a"/>
      <sheetName val="G 01b"/>
      <sheetName val="G 02"/>
      <sheetName val="G 03"/>
      <sheetName val="G 04"/>
      <sheetName val="G 05"/>
      <sheetName val="G 06"/>
      <sheetName val="G 07"/>
      <sheetName val="G 08"/>
      <sheetName val="G 09a"/>
      <sheetName val="G 09b"/>
      <sheetName val="G 09c"/>
      <sheetName val="G 09d"/>
      <sheetName val="G 09e"/>
      <sheetName val="G 09f"/>
      <sheetName val="G 10a"/>
      <sheetName val="G 10b"/>
      <sheetName val="G 11a"/>
      <sheetName val="G 11b"/>
      <sheetName val="G 11c"/>
      <sheetName val="G 12a"/>
      <sheetName val="G 12b"/>
      <sheetName val="G 12c"/>
      <sheetName val="G 13a"/>
      <sheetName val="G 13b"/>
      <sheetName val="G 13c"/>
      <sheetName val="G 13d"/>
      <sheetName val="G 13e"/>
      <sheetName val="G 13f"/>
      <sheetName val="G 14"/>
      <sheetName val="G 15"/>
      <sheetName val="G 16"/>
      <sheetName val="G 17a"/>
      <sheetName val="G 17b"/>
      <sheetName val="G 18"/>
      <sheetName val="G 19"/>
      <sheetName val="G 20"/>
      <sheetName val="G 21"/>
      <sheetName val="G 22"/>
      <sheetName val="G 23a"/>
      <sheetName val="G 23b"/>
      <sheetName val="G 24"/>
      <sheetName val="G 25"/>
      <sheetName val="G 26"/>
      <sheetName val="G 27"/>
      <sheetName val="G 28"/>
      <sheetName val="G 29"/>
      <sheetName val="G 30"/>
      <sheetName val="G 31"/>
      <sheetName val="G 32"/>
      <sheetName val="G 33"/>
      <sheetName val="G 34"/>
      <sheetName val="G 35"/>
      <sheetName val="G 36"/>
      <sheetName val="G 37"/>
      <sheetName val="G 38"/>
      <sheetName val="G 39"/>
      <sheetName val="G 40"/>
      <sheetName val="G 41"/>
      <sheetName val="G 42"/>
      <sheetName val="G 43a"/>
      <sheetName val="G 43b"/>
      <sheetName val="G 44a"/>
      <sheetName val="G 44b"/>
      <sheetName val="G 44c"/>
      <sheetName val="G 44d"/>
      <sheetName val="G 45a"/>
      <sheetName val="G 45b"/>
      <sheetName val="G 46a"/>
      <sheetName val="G 46b"/>
      <sheetName val="G 47a"/>
      <sheetName val="G 47b"/>
      <sheetName val="G 48a"/>
      <sheetName val="G 48b"/>
      <sheetName val="G 49a"/>
      <sheetName val="G 49b"/>
      <sheetName val="G 49c"/>
      <sheetName val="G 50a"/>
      <sheetName val="G 50b"/>
      <sheetName val="G 50c"/>
      <sheetName val="G 51a"/>
      <sheetName val="G 51b"/>
      <sheetName val="G 51c"/>
      <sheetName val="G 52a"/>
      <sheetName val="G 52b"/>
      <sheetName val="G 52c"/>
      <sheetName val="G 53"/>
      <sheetName val="G 54"/>
      <sheetName val="G 55"/>
      <sheetName val="G 56"/>
      <sheetName val="G 57"/>
      <sheetName val="G 58"/>
      <sheetName val="G 5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3">
          <cell r="J13">
            <v>50993</v>
          </cell>
        </row>
        <row r="15">
          <cell r="J15">
            <v>25129</v>
          </cell>
        </row>
        <row r="17">
          <cell r="J17">
            <v>180390</v>
          </cell>
        </row>
        <row r="31">
          <cell r="J31">
            <v>778427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List of tables"/>
      <sheetName val="List of topics"/>
      <sheetName val="G01"/>
      <sheetName val="G02"/>
      <sheetName val="G03"/>
      <sheetName val="G04"/>
      <sheetName val="G05"/>
      <sheetName val="G06"/>
      <sheetName val="G07"/>
      <sheetName val="G08"/>
      <sheetName val="G09a"/>
      <sheetName val="G09b"/>
      <sheetName val="G09c"/>
      <sheetName val="G10"/>
      <sheetName val="G11a"/>
      <sheetName val="G11b"/>
      <sheetName val="G12a"/>
      <sheetName val="G12b"/>
      <sheetName val="G13a"/>
      <sheetName val="G13b"/>
      <sheetName val="G13c"/>
      <sheetName val="G14"/>
      <sheetName val="G15"/>
      <sheetName val="G16"/>
      <sheetName val="G17"/>
      <sheetName val="G18"/>
      <sheetName val="G19"/>
      <sheetName val="G20"/>
      <sheetName val="G21"/>
      <sheetName val="G22"/>
      <sheetName val="G23"/>
      <sheetName val="G24"/>
      <sheetName val="G25"/>
      <sheetName val="G26"/>
      <sheetName val="G27"/>
      <sheetName val="G28"/>
      <sheetName val="G29"/>
      <sheetName val="G30"/>
      <sheetName val="G31"/>
      <sheetName val="G32"/>
      <sheetName val="G33"/>
      <sheetName val="G34"/>
      <sheetName val="G35"/>
      <sheetName val="G36"/>
      <sheetName val="G37"/>
      <sheetName val="G38"/>
      <sheetName val="G39"/>
      <sheetName val="G40"/>
      <sheetName val="G41"/>
      <sheetName val="G42"/>
      <sheetName val="G43"/>
      <sheetName val="G44"/>
      <sheetName val="G45"/>
      <sheetName val="G46"/>
      <sheetName val="G47a"/>
      <sheetName val="G47b"/>
      <sheetName val="G48"/>
      <sheetName val="G49"/>
      <sheetName val="G50"/>
      <sheetName val="G51"/>
      <sheetName val="G52"/>
      <sheetName val="G53"/>
      <sheetName val="G54"/>
      <sheetName val="G55"/>
      <sheetName val="G56"/>
      <sheetName val="G57"/>
      <sheetName val="G58"/>
      <sheetName val="G59"/>
      <sheetName val="G60"/>
      <sheetName val="G61"/>
      <sheetName val="G6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57">
          <cell r="J57">
            <v>76780</v>
          </cell>
        </row>
        <row r="59">
          <cell r="J59">
            <v>33029</v>
          </cell>
        </row>
        <row r="61">
          <cell r="J61">
            <v>225405</v>
          </cell>
        </row>
        <row r="75">
          <cell r="J75">
            <v>875345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"/>
      <sheetName val="List of Topics (1)"/>
      <sheetName val="List of Topics (2)"/>
      <sheetName val="List of Topics (3)"/>
      <sheetName val="B 01a"/>
      <sheetName val="B 01b"/>
      <sheetName val="B 02"/>
      <sheetName val="B 03"/>
      <sheetName val="B 04"/>
      <sheetName val="B 05"/>
      <sheetName val="B 06"/>
      <sheetName val="B 07"/>
      <sheetName val="B 08"/>
      <sheetName val="B 09"/>
      <sheetName val="B 10a"/>
      <sheetName val="B 10b"/>
      <sheetName val="B 11"/>
      <sheetName val="B 12a"/>
      <sheetName val="B 12b"/>
      <sheetName val="B 12c"/>
      <sheetName val="B 13a"/>
      <sheetName val="B 13b"/>
      <sheetName val="B 14"/>
      <sheetName val="B 15"/>
      <sheetName val="B 16"/>
      <sheetName val="B 17a"/>
      <sheetName val="B 17b"/>
      <sheetName val="B 18"/>
      <sheetName val="B 19"/>
      <sheetName val="B 20"/>
      <sheetName val="B 21"/>
      <sheetName val="B 22"/>
      <sheetName val="B 23a"/>
      <sheetName val="B 23b"/>
      <sheetName val="B 24"/>
      <sheetName val="B 25"/>
      <sheetName val="B 26"/>
      <sheetName val="B 27"/>
      <sheetName val="B 28"/>
      <sheetName val="B 29"/>
      <sheetName val="B 30"/>
      <sheetName val="B 31"/>
      <sheetName val="B 32"/>
      <sheetName val="B 33"/>
      <sheetName val="B 34"/>
      <sheetName val="B 35"/>
      <sheetName val="B 36"/>
      <sheetName val="B 37"/>
      <sheetName val="B 38"/>
      <sheetName val="B 39"/>
      <sheetName val="B 40a"/>
      <sheetName val="B 40b"/>
      <sheetName val="B 41a"/>
      <sheetName val="B 41b"/>
      <sheetName val="B 42a"/>
      <sheetName val="B 42b"/>
      <sheetName val="B 43a"/>
      <sheetName val="B 43b"/>
      <sheetName val="B 43c"/>
      <sheetName val="B 44"/>
      <sheetName val="B 45"/>
      <sheetName val="B 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13">
          <cell r="J13">
            <v>9537</v>
          </cell>
        </row>
        <row r="15">
          <cell r="J15">
            <v>5966</v>
          </cell>
        </row>
        <row r="17">
          <cell r="J17">
            <v>41519</v>
          </cell>
        </row>
        <row r="31">
          <cell r="J31">
            <v>205762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(1) "/>
      <sheetName val="List of Tables (2)"/>
      <sheetName val="List of Topics (1)"/>
      <sheetName val="List of Topics (2)"/>
      <sheetName val="List of Topics (3)"/>
      <sheetName val="G 01a"/>
      <sheetName val="G 01b"/>
      <sheetName val="G 02"/>
      <sheetName val="G 03"/>
      <sheetName val="G 04"/>
      <sheetName val="G 05"/>
      <sheetName val="G 06"/>
      <sheetName val="G 07"/>
      <sheetName val="G 08"/>
      <sheetName val="G 09a"/>
      <sheetName val="G 09b"/>
      <sheetName val="G 09c"/>
      <sheetName val="G 09d"/>
      <sheetName val="G 09e"/>
      <sheetName val="G 09f"/>
      <sheetName val="G 10a"/>
      <sheetName val="G 10b"/>
      <sheetName val="G 11a"/>
      <sheetName val="G 11b"/>
      <sheetName val="G 11c"/>
      <sheetName val="G 12a"/>
      <sheetName val="G 12b"/>
      <sheetName val="G 12c"/>
      <sheetName val="G 13a"/>
      <sheetName val="G 13b"/>
      <sheetName val="G 13c"/>
      <sheetName val="G 13d"/>
      <sheetName val="G 13e"/>
      <sheetName val="G 13f"/>
      <sheetName val="G 14"/>
      <sheetName val="G 15"/>
      <sheetName val="G 16"/>
      <sheetName val="G 17a"/>
      <sheetName val="G 17b"/>
      <sheetName val="G 18"/>
      <sheetName val="G 19"/>
      <sheetName val="G 20"/>
      <sheetName val="G 21"/>
      <sheetName val="G 22"/>
      <sheetName val="G 23a"/>
      <sheetName val="G 23b"/>
      <sheetName val="G 24"/>
      <sheetName val="G 25"/>
      <sheetName val="G 26"/>
      <sheetName val="G 27"/>
      <sheetName val="G 28"/>
      <sheetName val="G 29"/>
      <sheetName val="G 30"/>
      <sheetName val="G 31"/>
      <sheetName val="G 32"/>
      <sheetName val="G 33"/>
      <sheetName val="G 34"/>
      <sheetName val="G 35"/>
      <sheetName val="G 36"/>
      <sheetName val="G 37"/>
      <sheetName val="G 38"/>
      <sheetName val="G 39"/>
      <sheetName val="G 40"/>
      <sheetName val="G 41"/>
      <sheetName val="G 42"/>
      <sheetName val="G 43a"/>
      <sheetName val="G 43b"/>
      <sheetName val="G 44a"/>
      <sheetName val="G 44b"/>
      <sheetName val="G 44c"/>
      <sheetName val="G 44d"/>
      <sheetName val="G 45a"/>
      <sheetName val="G 45b"/>
      <sheetName val="G 46a"/>
      <sheetName val="G 46b"/>
      <sheetName val="G 47a"/>
      <sheetName val="G 47b"/>
      <sheetName val="G 48a"/>
      <sheetName val="G 48b"/>
      <sheetName val="G 49a"/>
      <sheetName val="G 49b"/>
      <sheetName val="G 49c"/>
      <sheetName val="G 50a"/>
      <sheetName val="G 50b"/>
      <sheetName val="G 50c"/>
      <sheetName val="G 51a"/>
      <sheetName val="G 51b"/>
      <sheetName val="G 51c"/>
      <sheetName val="G 52a"/>
      <sheetName val="G 52b"/>
      <sheetName val="G 52c"/>
      <sheetName val="G 53"/>
      <sheetName val="G 54"/>
      <sheetName val="G 55"/>
      <sheetName val="G 56"/>
      <sheetName val="G 57"/>
      <sheetName val="G 58"/>
      <sheetName val="G 5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3">
          <cell r="J13">
            <v>13408</v>
          </cell>
        </row>
        <row r="15">
          <cell r="J15">
            <v>7529</v>
          </cell>
        </row>
        <row r="17">
          <cell r="J17">
            <v>46931</v>
          </cell>
        </row>
        <row r="31">
          <cell r="J31">
            <v>233961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List of tables"/>
      <sheetName val="List of topics"/>
      <sheetName val="G01"/>
      <sheetName val="G02"/>
      <sheetName val="G03"/>
      <sheetName val="G04"/>
      <sheetName val="G05"/>
      <sheetName val="G06"/>
      <sheetName val="G07"/>
      <sheetName val="G08"/>
      <sheetName val="G09a"/>
      <sheetName val="G09b"/>
      <sheetName val="G09c"/>
      <sheetName val="G10"/>
      <sheetName val="G11a"/>
      <sheetName val="G11b"/>
      <sheetName val="G12a"/>
      <sheetName val="G12b"/>
      <sheetName val="G13a"/>
      <sheetName val="G13b"/>
      <sheetName val="G13c"/>
      <sheetName val="G14"/>
      <sheetName val="G15"/>
      <sheetName val="G16"/>
      <sheetName val="G17"/>
      <sheetName val="G18"/>
      <sheetName val="G19"/>
      <sheetName val="G20"/>
      <sheetName val="G21"/>
      <sheetName val="G22"/>
      <sheetName val="G23"/>
      <sheetName val="G24"/>
      <sheetName val="G25"/>
      <sheetName val="G26"/>
      <sheetName val="G27"/>
      <sheetName val="G28"/>
      <sheetName val="G29"/>
      <sheetName val="G30"/>
      <sheetName val="G31"/>
      <sheetName val="G32"/>
      <sheetName val="G33"/>
      <sheetName val="G34"/>
      <sheetName val="G35"/>
      <sheetName val="G36"/>
      <sheetName val="G37"/>
      <sheetName val="G38"/>
      <sheetName val="G39"/>
      <sheetName val="G40"/>
      <sheetName val="G41"/>
      <sheetName val="G42"/>
      <sheetName val="G43"/>
      <sheetName val="G44"/>
      <sheetName val="G45"/>
      <sheetName val="G46"/>
      <sheetName val="G47a"/>
      <sheetName val="G47b"/>
      <sheetName val="G48"/>
      <sheetName val="G49"/>
      <sheetName val="G50"/>
      <sheetName val="G51"/>
      <sheetName val="G52"/>
      <sheetName val="G53"/>
      <sheetName val="G54"/>
      <sheetName val="G55"/>
      <sheetName val="G56"/>
      <sheetName val="G57"/>
      <sheetName val="G58"/>
      <sheetName val="G59"/>
      <sheetName val="G60"/>
      <sheetName val="G61"/>
      <sheetName val="G6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57">
          <cell r="J57">
            <v>27212</v>
          </cell>
        </row>
        <row r="59">
          <cell r="J59">
            <v>10301</v>
          </cell>
        </row>
        <row r="61">
          <cell r="J61">
            <v>64334</v>
          </cell>
        </row>
        <row r="75">
          <cell r="J75">
            <v>278846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"/>
      <sheetName val="List of Topics (1)"/>
      <sheetName val="List of Topics (2)"/>
      <sheetName val="List of Topics (3)"/>
      <sheetName val="B 01a"/>
      <sheetName val="B 01b"/>
      <sheetName val="B 02"/>
      <sheetName val="B 03"/>
      <sheetName val="B 04"/>
      <sheetName val="B 05"/>
      <sheetName val="B 06"/>
      <sheetName val="B 07"/>
      <sheetName val="B 08"/>
      <sheetName val="B 09"/>
      <sheetName val="B 10a"/>
      <sheetName val="B 10b"/>
      <sheetName val="B 11"/>
      <sheetName val="B 12a"/>
      <sheetName val="B 12b"/>
      <sheetName val="B 12c"/>
      <sheetName val="B 13a"/>
      <sheetName val="B 13b"/>
      <sheetName val="B 14"/>
      <sheetName val="B 15"/>
      <sheetName val="B 16"/>
      <sheetName val="B 17a"/>
      <sheetName val="B 17b"/>
      <sheetName val="B 18"/>
      <sheetName val="B 19"/>
      <sheetName val="B 20"/>
      <sheetName val="B 21"/>
      <sheetName val="B 22"/>
      <sheetName val="B 23a"/>
      <sheetName val="B 23b"/>
      <sheetName val="B 24"/>
      <sheetName val="B 25"/>
      <sheetName val="B 26"/>
      <sheetName val="B 27"/>
      <sheetName val="B 28"/>
      <sheetName val="B 29"/>
      <sheetName val="B 30"/>
      <sheetName val="B 31"/>
      <sheetName val="B 32"/>
      <sheetName val="B 33"/>
      <sheetName val="B 34"/>
      <sheetName val="B 35"/>
      <sheetName val="B 36"/>
      <sheetName val="B 37"/>
      <sheetName val="B 38"/>
      <sheetName val="B 39"/>
      <sheetName val="B 40a"/>
      <sheetName val="B 40b"/>
      <sheetName val="B 41a"/>
      <sheetName val="B 41b"/>
      <sheetName val="B 42a"/>
      <sheetName val="B 42b"/>
      <sheetName val="B 43a"/>
      <sheetName val="B 43b"/>
      <sheetName val="B 43c"/>
      <sheetName val="B 44"/>
      <sheetName val="B 45"/>
      <sheetName val="B 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13">
          <cell r="J13">
            <v>170380</v>
          </cell>
        </row>
        <row r="15">
          <cell r="J15">
            <v>95352</v>
          </cell>
        </row>
        <row r="17">
          <cell r="J17">
            <v>641218</v>
          </cell>
        </row>
        <row r="31">
          <cell r="J31">
            <v>2443536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(1) "/>
      <sheetName val="List of Tables (2)"/>
      <sheetName val="List of Topics (1)"/>
      <sheetName val="List of Topics (2)"/>
      <sheetName val="List of Topics (3)"/>
      <sheetName val="G 01a"/>
      <sheetName val="G 01b"/>
      <sheetName val="G 02"/>
      <sheetName val="G 03"/>
      <sheetName val="G 04"/>
      <sheetName val="G 05"/>
      <sheetName val="G 06"/>
      <sheetName val="G 07"/>
      <sheetName val="G 08"/>
      <sheetName val="G 09a"/>
      <sheetName val="G 09b"/>
      <sheetName val="G 09c"/>
      <sheetName val="G 09d"/>
      <sheetName val="G 09e"/>
      <sheetName val="G 09f"/>
      <sheetName val="G 10a"/>
      <sheetName val="G 10b"/>
      <sheetName val="G 11a"/>
      <sheetName val="G 11b"/>
      <sheetName val="G 11c"/>
      <sheetName val="G 12a"/>
      <sheetName val="G 12b"/>
      <sheetName val="G 12c"/>
      <sheetName val="G 13a"/>
      <sheetName val="G 13b"/>
      <sheetName val="G 13c"/>
      <sheetName val="G 13d"/>
      <sheetName val="G 13e"/>
      <sheetName val="G 13f"/>
      <sheetName val="G 14"/>
      <sheetName val="G 15"/>
      <sheetName val="G 16"/>
      <sheetName val="G 17a"/>
      <sheetName val="G 17b"/>
      <sheetName val="G 18"/>
      <sheetName val="G 19"/>
      <sheetName val="G 20"/>
      <sheetName val="G 21"/>
      <sheetName val="G 22"/>
      <sheetName val="G 23a"/>
      <sheetName val="G 23b"/>
      <sheetName val="G 24"/>
      <sheetName val="G 25"/>
      <sheetName val="G 26"/>
      <sheetName val="G 27"/>
      <sheetName val="G 28"/>
      <sheetName val="G 29"/>
      <sheetName val="G 30"/>
      <sheetName val="G 31"/>
      <sheetName val="G 32"/>
      <sheetName val="G 33"/>
      <sheetName val="G 34"/>
      <sheetName val="G 35"/>
      <sheetName val="G 36"/>
      <sheetName val="G 37"/>
      <sheetName val="G 38"/>
      <sheetName val="G 39"/>
      <sheetName val="G 40"/>
      <sheetName val="G 41"/>
      <sheetName val="G 42"/>
      <sheetName val="G 43a"/>
      <sheetName val="G 43b"/>
      <sheetName val="G 44a"/>
      <sheetName val="G 44b"/>
      <sheetName val="G 44c"/>
      <sheetName val="G 44d"/>
      <sheetName val="G 45a"/>
      <sheetName val="G 45b"/>
      <sheetName val="G 46a"/>
      <sheetName val="G 46b"/>
      <sheetName val="G 47a"/>
      <sheetName val="G 47b"/>
      <sheetName val="G 48a"/>
      <sheetName val="G 48b"/>
      <sheetName val="G 49a"/>
      <sheetName val="G 49b"/>
      <sheetName val="G 49c"/>
      <sheetName val="G 50a"/>
      <sheetName val="G 50b"/>
      <sheetName val="G 50c"/>
      <sheetName val="G 51a"/>
      <sheetName val="G 51b"/>
      <sheetName val="G 51c"/>
      <sheetName val="G 52a"/>
      <sheetName val="G 52b"/>
      <sheetName val="G 52c"/>
      <sheetName val="G 53"/>
      <sheetName val="G 54"/>
      <sheetName val="G 55"/>
      <sheetName val="G 56"/>
      <sheetName val="G 57"/>
      <sheetName val="G 58"/>
      <sheetName val="G 5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3">
          <cell r="J13">
            <v>260039</v>
          </cell>
        </row>
        <row r="15">
          <cell r="J15">
            <v>119226</v>
          </cell>
        </row>
        <row r="17">
          <cell r="J17">
            <v>798270</v>
          </cell>
        </row>
        <row r="31">
          <cell r="J31">
            <v>2926054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List of tables"/>
      <sheetName val="List of topics"/>
      <sheetName val="G01"/>
      <sheetName val="G02"/>
      <sheetName val="G03"/>
      <sheetName val="G04"/>
      <sheetName val="G05"/>
      <sheetName val="G06"/>
      <sheetName val="G07"/>
      <sheetName val="G08"/>
      <sheetName val="G09a"/>
      <sheetName val="G09b"/>
      <sheetName val="G09c"/>
      <sheetName val="G10"/>
      <sheetName val="G11a"/>
      <sheetName val="G11b"/>
      <sheetName val="G12a"/>
      <sheetName val="G12b"/>
      <sheetName val="G13a"/>
      <sheetName val="G13b"/>
      <sheetName val="G13c"/>
      <sheetName val="G14"/>
      <sheetName val="G15"/>
      <sheetName val="G16"/>
      <sheetName val="G17"/>
      <sheetName val="G18"/>
      <sheetName val="G19"/>
      <sheetName val="G20"/>
      <sheetName val="G21"/>
      <sheetName val="G22"/>
      <sheetName val="G23"/>
      <sheetName val="G24"/>
      <sheetName val="G25"/>
      <sheetName val="G26"/>
      <sheetName val="G27"/>
      <sheetName val="G28"/>
      <sheetName val="G29"/>
      <sheetName val="G30"/>
      <sheetName val="G31"/>
      <sheetName val="G32"/>
      <sheetName val="G33"/>
      <sheetName val="G34"/>
      <sheetName val="G35"/>
      <sheetName val="G36"/>
      <sheetName val="G37"/>
      <sheetName val="G38"/>
      <sheetName val="G39"/>
      <sheetName val="G40"/>
      <sheetName val="G41"/>
      <sheetName val="G42"/>
      <sheetName val="G43"/>
      <sheetName val="G44"/>
      <sheetName val="G45"/>
      <sheetName val="G46"/>
      <sheetName val="G47a"/>
      <sheetName val="G47b"/>
      <sheetName val="G48"/>
      <sheetName val="G49"/>
      <sheetName val="G50"/>
      <sheetName val="G51"/>
      <sheetName val="G52"/>
      <sheetName val="G53"/>
      <sheetName val="G54"/>
      <sheetName val="G55"/>
      <sheetName val="G56"/>
      <sheetName val="G57"/>
      <sheetName val="G58"/>
      <sheetName val="G59"/>
      <sheetName val="G60"/>
      <sheetName val="G61"/>
      <sheetName val="G6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57">
          <cell r="J57">
            <v>399612</v>
          </cell>
        </row>
        <row r="59">
          <cell r="J59">
            <v>153446</v>
          </cell>
        </row>
        <row r="61">
          <cell r="J61">
            <v>1004394</v>
          </cell>
        </row>
        <row r="75">
          <cell r="J75">
            <v>3389371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"/>
      <sheetName val="List of Topics (1)"/>
      <sheetName val="List of Topics (2)"/>
      <sheetName val="List of Topics (3)"/>
      <sheetName val="B 01a"/>
      <sheetName val="B 01b"/>
      <sheetName val="B 02"/>
      <sheetName val="B 03"/>
      <sheetName val="B 04"/>
      <sheetName val="B 05"/>
      <sheetName val="B 06"/>
      <sheetName val="B 07"/>
      <sheetName val="B 08"/>
      <sheetName val="B 09"/>
      <sheetName val="B 10a"/>
      <sheetName val="B 10b"/>
      <sheetName val="B 11"/>
      <sheetName val="B 12a"/>
      <sheetName val="B 12b"/>
      <sheetName val="B 12c"/>
      <sheetName val="B 13a"/>
      <sheetName val="B 13b"/>
      <sheetName val="B 14"/>
      <sheetName val="B 15"/>
      <sheetName val="B 16"/>
      <sheetName val="B 17a"/>
      <sheetName val="B 17b"/>
      <sheetName val="B 18"/>
      <sheetName val="B 19"/>
      <sheetName val="B 20"/>
      <sheetName val="B 21"/>
      <sheetName val="B 22"/>
      <sheetName val="B 23a"/>
      <sheetName val="B 23b"/>
      <sheetName val="B 24"/>
      <sheetName val="B 25"/>
      <sheetName val="B 26"/>
      <sheetName val="B 27"/>
      <sheetName val="B 28"/>
      <sheetName val="B 29"/>
      <sheetName val="B 30"/>
      <sheetName val="B 31"/>
      <sheetName val="B 32"/>
      <sheetName val="B 33"/>
      <sheetName val="B 34"/>
      <sheetName val="B 35"/>
      <sheetName val="B 36"/>
      <sheetName val="B 37"/>
      <sheetName val="B 38"/>
      <sheetName val="B 39"/>
      <sheetName val="B 40a"/>
      <sheetName val="B 40b"/>
      <sheetName val="B 41a"/>
      <sheetName val="B 41b"/>
      <sheetName val="B 42a"/>
      <sheetName val="B 42b"/>
      <sheetName val="B 43a"/>
      <sheetName val="B 43b"/>
      <sheetName val="B 43c"/>
      <sheetName val="B 44"/>
      <sheetName val="B 45"/>
      <sheetName val="B 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13">
          <cell r="J13">
            <v>51631</v>
          </cell>
        </row>
        <row r="15">
          <cell r="J15">
            <v>29481</v>
          </cell>
        </row>
        <row r="17">
          <cell r="J17">
            <v>234400</v>
          </cell>
        </row>
        <row r="31">
          <cell r="J31">
            <v>1020180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(1) "/>
      <sheetName val="List of Tables (2)"/>
      <sheetName val="List of Topics (1)"/>
      <sheetName val="List of Topics (2)"/>
      <sheetName val="List of Topics (3)"/>
      <sheetName val="G 01a"/>
      <sheetName val="G 01b"/>
      <sheetName val="G 02"/>
      <sheetName val="G 03"/>
      <sheetName val="G 04"/>
      <sheetName val="G 05"/>
      <sheetName val="G 06"/>
      <sheetName val="G 07"/>
      <sheetName val="G 08"/>
      <sheetName val="G 09a"/>
      <sheetName val="G 09b"/>
      <sheetName val="G 09c"/>
      <sheetName val="G 09d"/>
      <sheetName val="G 09e"/>
      <sheetName val="G 09f"/>
      <sheetName val="G 10a"/>
      <sheetName val="G 10b"/>
      <sheetName val="G 11a"/>
      <sheetName val="G 11b"/>
      <sheetName val="G 11c"/>
      <sheetName val="G 12a"/>
      <sheetName val="G 12b"/>
      <sheetName val="G 12c"/>
      <sheetName val="G 13a"/>
      <sheetName val="G 13b"/>
      <sheetName val="G 13c"/>
      <sheetName val="G 13d"/>
      <sheetName val="G 13e"/>
      <sheetName val="G 13f"/>
      <sheetName val="G 14"/>
      <sheetName val="G 15"/>
      <sheetName val="G 16"/>
      <sheetName val="G 17a"/>
      <sheetName val="G 17b"/>
      <sheetName val="G 18"/>
      <sheetName val="G 19"/>
      <sheetName val="G 20"/>
      <sheetName val="G 21"/>
      <sheetName val="G 22"/>
      <sheetName val="G 23a"/>
      <sheetName val="G 23b"/>
      <sheetName val="G 24"/>
      <sheetName val="G 25"/>
      <sheetName val="G 26"/>
      <sheetName val="G 27"/>
      <sheetName val="G 28"/>
      <sheetName val="G 29"/>
      <sheetName val="G 30"/>
      <sheetName val="G 31"/>
      <sheetName val="G 32"/>
      <sheetName val="G 33"/>
      <sheetName val="G 34"/>
      <sheetName val="G 35"/>
      <sheetName val="G 36"/>
      <sheetName val="G 37"/>
      <sheetName val="G 38"/>
      <sheetName val="G 39"/>
      <sheetName val="G 40"/>
      <sheetName val="G 41"/>
      <sheetName val="G 42"/>
      <sheetName val="G 43a"/>
      <sheetName val="G 43b"/>
      <sheetName val="G 44a"/>
      <sheetName val="G 44b"/>
      <sheetName val="G 44c"/>
      <sheetName val="G 44d"/>
      <sheetName val="G 45a"/>
      <sheetName val="G 45b"/>
      <sheetName val="G 46a"/>
      <sheetName val="G 46b"/>
      <sheetName val="G 47a"/>
      <sheetName val="G 47b"/>
      <sheetName val="G 48a"/>
      <sheetName val="G 48b"/>
      <sheetName val="G 49a"/>
      <sheetName val="G 49b"/>
      <sheetName val="G 49c"/>
      <sheetName val="G 50a"/>
      <sheetName val="G 50b"/>
      <sheetName val="G 50c"/>
      <sheetName val="G 51a"/>
      <sheetName val="G 51b"/>
      <sheetName val="G 51c"/>
      <sheetName val="G 52a"/>
      <sheetName val="G 52b"/>
      <sheetName val="G 52c"/>
      <sheetName val="G 53"/>
      <sheetName val="G 54"/>
      <sheetName val="G 55"/>
      <sheetName val="G 56"/>
      <sheetName val="G 57"/>
      <sheetName val="G 58"/>
      <sheetName val="G 5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3">
          <cell r="J13">
            <v>76660</v>
          </cell>
        </row>
        <row r="15">
          <cell r="J15">
            <v>38581</v>
          </cell>
        </row>
        <row r="17">
          <cell r="J17">
            <v>295027</v>
          </cell>
        </row>
        <row r="31">
          <cell r="J31">
            <v>1219843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List of tables"/>
      <sheetName val="List of topics"/>
      <sheetName val="G01"/>
      <sheetName val="G02"/>
      <sheetName val="G03"/>
      <sheetName val="G04"/>
      <sheetName val="G05"/>
      <sheetName val="G06"/>
      <sheetName val="G07"/>
      <sheetName val="G08"/>
      <sheetName val="G09a"/>
      <sheetName val="G09b"/>
      <sheetName val="G09c"/>
      <sheetName val="G10"/>
      <sheetName val="G11a"/>
      <sheetName val="G11b"/>
      <sheetName val="G12a"/>
      <sheetName val="G12b"/>
      <sheetName val="G13a"/>
      <sheetName val="G13b"/>
      <sheetName val="G13c"/>
      <sheetName val="G14"/>
      <sheetName val="G15"/>
      <sheetName val="G16"/>
      <sheetName val="G17"/>
      <sheetName val="G18"/>
      <sheetName val="G19"/>
      <sheetName val="G20"/>
      <sheetName val="G21"/>
      <sheetName val="G22"/>
      <sheetName val="G23"/>
      <sheetName val="G24"/>
      <sheetName val="G25"/>
      <sheetName val="G26"/>
      <sheetName val="G27"/>
      <sheetName val="G28"/>
      <sheetName val="G29"/>
      <sheetName val="G30"/>
      <sheetName val="G31"/>
      <sheetName val="G32"/>
      <sheetName val="G33"/>
      <sheetName val="G34"/>
      <sheetName val="G35"/>
      <sheetName val="G36"/>
      <sheetName val="G37"/>
      <sheetName val="G38"/>
      <sheetName val="G39"/>
      <sheetName val="G40"/>
      <sheetName val="G41"/>
      <sheetName val="G42"/>
      <sheetName val="G43"/>
      <sheetName val="G44"/>
      <sheetName val="G45"/>
      <sheetName val="G46"/>
      <sheetName val="G47a"/>
      <sheetName val="G47b"/>
      <sheetName val="G48"/>
      <sheetName val="G49"/>
      <sheetName val="G50"/>
      <sheetName val="G51"/>
      <sheetName val="G52"/>
      <sheetName val="G53"/>
      <sheetName val="G54"/>
      <sheetName val="G55"/>
      <sheetName val="G56"/>
      <sheetName val="G57"/>
      <sheetName val="G58"/>
      <sheetName val="G59"/>
      <sheetName val="G60"/>
      <sheetName val="G61"/>
      <sheetName val="G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57">
          <cell r="J57">
            <v>109913</v>
          </cell>
        </row>
        <row r="59">
          <cell r="J59">
            <v>50138</v>
          </cell>
        </row>
        <row r="61">
          <cell r="J61">
            <v>353606</v>
          </cell>
        </row>
        <row r="75">
          <cell r="J75">
            <v>1367340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sqref="A1:D9"/>
    </sheetView>
  </sheetViews>
  <sheetFormatPr defaultRowHeight="14.4" x14ac:dyDescent="0.3"/>
  <cols>
    <col min="2" max="2" width="14.6640625" customWidth="1"/>
    <col min="3" max="3" width="14.33203125" customWidth="1"/>
    <col min="4" max="4" width="25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t="s">
        <v>4</v>
      </c>
      <c r="B2" s="1">
        <f>SUM('[1]B 40b'!$J$13:$J$17)/'[1]B 40b'!$J$31</f>
        <v>0.52701031147698307</v>
      </c>
      <c r="C2" cm="1">
        <f t="array" ref="C2">SUM('[2]G 46b'!$J$13:$J$17/'[2]G 46b'!$J$31)</f>
        <v>0.54595866929517445</v>
      </c>
      <c r="D2" cm="1">
        <f t="array" ref="D2">SUM([3]G49!$J$57:$J$61/[3]G49!$J$75)</f>
        <v>0.60146796046232831</v>
      </c>
    </row>
    <row r="3" spans="1:9" x14ac:dyDescent="0.3">
      <c r="A3" t="s">
        <v>5</v>
      </c>
      <c r="B3">
        <f>SUM('[4]B 40b'!$J$13:$J$17)/'[4]B 40b'!$J$31</f>
        <v>0.34683464480231624</v>
      </c>
      <c r="C3">
        <f>SUM('[6]G 46a'!$J$35:$J$39)/'[6]G 46a'!$J$53</f>
        <v>0.42160096468815073</v>
      </c>
      <c r="D3">
        <f>SUM([5]G49!$J$57:$J$61)/[5]G49!$J$75</f>
        <v>0.43448264127346642</v>
      </c>
    </row>
    <row r="4" spans="1:9" x14ac:dyDescent="0.3">
      <c r="A4" t="s">
        <v>6</v>
      </c>
      <c r="B4">
        <f>SUM('[7]B 40b'!$J$13:$J$17)/'[7]B 40b'!$J$31</f>
        <v>0.26279362871857276</v>
      </c>
      <c r="C4">
        <f>SUM('[8]G 46b'!$J$13:$J$17)/'[8]G 46b'!$J$31</f>
        <v>0.27536374801653113</v>
      </c>
      <c r="D4">
        <f>SUM([9]G49!$J$57:$J$61)/[9]G49!$J$75</f>
        <v>0.35097651729601737</v>
      </c>
    </row>
    <row r="5" spans="1:9" x14ac:dyDescent="0.3">
      <c r="A5" t="s">
        <v>7</v>
      </c>
      <c r="B5">
        <f>SUM('[10]B 40b'!$J$13:$J$17)/'[10]B 40b'!$J$31</f>
        <v>0.29269304541137714</v>
      </c>
      <c r="C5">
        <f>SUM('[11]G 46b'!$J$13:$J$17)/'[11]G 46b'!$J$31</f>
        <v>0.30940278181840897</v>
      </c>
      <c r="D5">
        <f>SUM([12]G49!$J$57:$J$61)/[12]G49!$J$75</f>
        <v>0.3507388876626496</v>
      </c>
    </row>
    <row r="6" spans="1:9" x14ac:dyDescent="0.3">
      <c r="A6" t="s">
        <v>8</v>
      </c>
      <c r="B6">
        <f>SUM('[13]B 40b'!$J$13:$J$17)/'[13]B 40b'!$J$31</f>
        <v>0.30646123991120389</v>
      </c>
      <c r="C6">
        <f>SUM('[14]G 46b'!$J$13:$J$17)/'[14]G 46b'!$J$31</f>
        <v>0.32952608272837403</v>
      </c>
      <c r="D6">
        <f>SUM([15]G49!$J$57:$J$61)/[15]G49!$J$75</f>
        <v>0.38295072228664129</v>
      </c>
    </row>
    <row r="7" spans="1:9" x14ac:dyDescent="0.3">
      <c r="A7" t="s">
        <v>9</v>
      </c>
      <c r="B7">
        <f>SUM('[16]B 40b'!$J$13:$J$17)/'[16]B 40b'!$J$31</f>
        <v>0.27712599994168019</v>
      </c>
      <c r="C7">
        <f>SUM('[17]G 46b'!$J$13:$J$17)/'[17]G 46b'!$J$31</f>
        <v>0.29008253512337528</v>
      </c>
      <c r="D7">
        <f>SUM([18]G49!$J$57:$J$61)/[18]G49!$J$75</f>
        <v>0.36524461530737395</v>
      </c>
      <c r="I7" s="2"/>
    </row>
    <row r="8" spans="1:9" x14ac:dyDescent="0.3">
      <c r="A8" t="s">
        <v>10</v>
      </c>
      <c r="B8">
        <f>SUM('[19]B 40b'!$J$13:$J$17)/'[19]B 40b'!$J$31</f>
        <v>0.37116293764446279</v>
      </c>
      <c r="C8">
        <f>SUM('[20]G 46b'!$J$13:$J$17)/'[20]G 46b'!$J$31</f>
        <v>0.40243105561278092</v>
      </c>
      <c r="D8">
        <f>SUM([21]G49!$J$57:$J$61)/[21]G49!$J$75</f>
        <v>0.45951062896330913</v>
      </c>
      <c r="I8" s="2"/>
    </row>
    <row r="9" spans="1:9" x14ac:dyDescent="0.3">
      <c r="A9" t="s">
        <v>11</v>
      </c>
      <c r="B9">
        <f>SUM('[22]B 40b'!$J$13:$J$17)/'[22]B 40b'!$J$31</f>
        <v>0.30927091297614145</v>
      </c>
      <c r="C9">
        <f>SUM('[23]G 46b'!$J$13:$J$17)/'[23]G 46b'!$J$31</f>
        <v>0.33632852752362397</v>
      </c>
      <c r="D9">
        <f>SUM([24]G49!$J$57:$J$61)/[24]G49!$J$75</f>
        <v>0.3756615033568827</v>
      </c>
      <c r="I9" s="2"/>
    </row>
    <row r="10" spans="1:9" x14ac:dyDescent="0.3">
      <c r="I10" s="2"/>
    </row>
    <row r="11" spans="1:9" x14ac:dyDescent="0.3">
      <c r="I11" s="2"/>
    </row>
    <row r="12" spans="1:9" x14ac:dyDescent="0.3">
      <c r="I12" s="2"/>
    </row>
    <row r="13" spans="1:9" x14ac:dyDescent="0.3">
      <c r="I13" s="2"/>
    </row>
    <row r="14" spans="1:9" x14ac:dyDescent="0.3">
      <c r="I14" s="2"/>
    </row>
    <row r="15" spans="1:9" x14ac:dyDescent="0.3">
      <c r="I15" s="2"/>
    </row>
    <row r="16" spans="1:9" x14ac:dyDescent="0.3">
      <c r="I16" s="2"/>
    </row>
    <row r="17" spans="9:9" x14ac:dyDescent="0.3">
      <c r="I17" s="2"/>
    </row>
    <row r="22" spans="9:9" x14ac:dyDescent="0.3">
      <c r="I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EB38-AFA9-460B-9445-E828DD02DCA6}">
  <dimension ref="A1:I9"/>
  <sheetViews>
    <sheetView tabSelected="1" workbookViewId="0">
      <selection activeCell="B3" sqref="B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t="s">
        <v>4</v>
      </c>
      <c r="B2">
        <v>52.701031147698309</v>
      </c>
      <c r="C2">
        <v>54.595866929517442</v>
      </c>
      <c r="D2">
        <v>60.146796046232829</v>
      </c>
      <c r="G2">
        <v>52.701031147698309</v>
      </c>
      <c r="H2">
        <v>54.595866929517442</v>
      </c>
      <c r="I2">
        <v>60.146796046232829</v>
      </c>
    </row>
    <row r="3" spans="1:9" x14ac:dyDescent="0.3">
      <c r="A3" t="s">
        <v>5</v>
      </c>
      <c r="B3">
        <v>34.683464480231621</v>
      </c>
      <c r="C3">
        <v>42.16009646881507</v>
      </c>
      <c r="D3">
        <v>43.44826412734664</v>
      </c>
      <c r="G3">
        <v>34.683464480231621</v>
      </c>
      <c r="H3">
        <v>42.16009646881507</v>
      </c>
      <c r="I3">
        <v>43.44826412734664</v>
      </c>
    </row>
    <row r="4" spans="1:9" x14ac:dyDescent="0.3">
      <c r="A4" t="s">
        <v>6</v>
      </c>
      <c r="B4">
        <v>26.279362871857277</v>
      </c>
      <c r="C4">
        <v>27.536374801653114</v>
      </c>
      <c r="D4">
        <v>35.097651729601736</v>
      </c>
      <c r="G4">
        <v>26.279362871857277</v>
      </c>
      <c r="H4">
        <v>27.536374801653114</v>
      </c>
      <c r="I4">
        <v>35.097651729601736</v>
      </c>
    </row>
    <row r="5" spans="1:9" x14ac:dyDescent="0.3">
      <c r="A5" t="s">
        <v>7</v>
      </c>
      <c r="B5">
        <v>29.269304541137714</v>
      </c>
      <c r="C5">
        <v>30.940278181840895</v>
      </c>
      <c r="D5">
        <v>35.073888766264957</v>
      </c>
      <c r="G5">
        <v>29.269304541137714</v>
      </c>
      <c r="H5">
        <v>30.940278181840895</v>
      </c>
      <c r="I5">
        <v>35.073888766264957</v>
      </c>
    </row>
    <row r="6" spans="1:9" x14ac:dyDescent="0.3">
      <c r="A6" t="s">
        <v>8</v>
      </c>
      <c r="B6">
        <v>30.64612399112039</v>
      </c>
      <c r="C6">
        <v>32.952608272837402</v>
      </c>
      <c r="D6">
        <v>38.295072228664125</v>
      </c>
      <c r="G6">
        <v>30.64612399112039</v>
      </c>
      <c r="H6">
        <v>32.952608272837402</v>
      </c>
      <c r="I6">
        <v>38.295072228664125</v>
      </c>
    </row>
    <row r="7" spans="1:9" x14ac:dyDescent="0.3">
      <c r="A7" t="s">
        <v>9</v>
      </c>
      <c r="B7">
        <v>27.71259999416802</v>
      </c>
      <c r="C7">
        <v>29.008253512337529</v>
      </c>
      <c r="D7">
        <v>36.524461530737398</v>
      </c>
      <c r="G7">
        <v>27.71259999416802</v>
      </c>
      <c r="H7">
        <v>29.008253512337529</v>
      </c>
      <c r="I7">
        <v>36.524461530737398</v>
      </c>
    </row>
    <row r="8" spans="1:9" x14ac:dyDescent="0.3">
      <c r="A8" t="s">
        <v>10</v>
      </c>
      <c r="B8">
        <v>37.116293764446276</v>
      </c>
      <c r="C8">
        <v>40.243105561278092</v>
      </c>
      <c r="D8">
        <v>45.95106289633091</v>
      </c>
      <c r="G8">
        <v>37.116293764446276</v>
      </c>
      <c r="H8">
        <v>40.243105561278092</v>
      </c>
      <c r="I8">
        <v>45.95106289633091</v>
      </c>
    </row>
    <row r="9" spans="1:9" x14ac:dyDescent="0.3">
      <c r="A9" t="s">
        <v>11</v>
      </c>
      <c r="B9">
        <v>30.927091297614144</v>
      </c>
      <c r="C9">
        <v>33.632852752362396</v>
      </c>
      <c r="D9">
        <v>37.56615033568827</v>
      </c>
      <c r="G9">
        <v>30.927091297614144</v>
      </c>
      <c r="H9">
        <v>33.632852752362396</v>
      </c>
      <c r="I9">
        <v>37.56615033568827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Rizai</dc:creator>
  <cp:lastModifiedBy>Abbas Rizai</cp:lastModifiedBy>
  <dcterms:created xsi:type="dcterms:W3CDTF">2015-06-05T18:17:20Z</dcterms:created>
  <dcterms:modified xsi:type="dcterms:W3CDTF">2026-10-05T14:29:19Z</dcterms:modified>
</cp:coreProperties>
</file>