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8C40829D-DF2E-48F1-8422-E577EDF14ED1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E25" i="3" s="1"/>
  <c r="D19" i="3"/>
  <c r="D20" i="3"/>
  <c r="D21" i="3"/>
  <c r="D22" i="3"/>
  <c r="D23" i="3"/>
  <c r="D24" i="3"/>
  <c r="D18" i="3"/>
  <c r="E18" i="3" s="1"/>
  <c r="D11" i="3"/>
  <c r="E11" i="3" s="1"/>
  <c r="D17" i="3"/>
  <c r="E17" i="3" s="1"/>
  <c r="D12" i="3"/>
  <c r="D13" i="3"/>
  <c r="D14" i="3"/>
  <c r="D15" i="3"/>
  <c r="D16" i="3"/>
  <c r="D10" i="3"/>
  <c r="E10" i="3" s="1"/>
  <c r="D3" i="3"/>
  <c r="D4" i="3"/>
  <c r="D5" i="3"/>
  <c r="D6" i="3"/>
  <c r="D7" i="3"/>
  <c r="D8" i="3"/>
  <c r="D9" i="3"/>
  <c r="D2" i="3"/>
  <c r="E2" i="3" s="1"/>
  <c r="E3" i="3"/>
  <c r="E4" i="3"/>
  <c r="E5" i="3"/>
  <c r="E6" i="3"/>
  <c r="E7" i="3"/>
  <c r="E8" i="3"/>
  <c r="E9" i="3"/>
  <c r="E12" i="3"/>
  <c r="E13" i="3"/>
  <c r="E14" i="3"/>
  <c r="E15" i="3"/>
  <c r="E16" i="3"/>
  <c r="E19" i="3"/>
  <c r="E20" i="3"/>
  <c r="E21" i="3"/>
  <c r="E22" i="3"/>
  <c r="E23" i="3"/>
  <c r="E24" i="3"/>
</calcChain>
</file>

<file path=xl/sharedStrings.xml><?xml version="1.0" encoding="utf-8"?>
<sst xmlns="http://schemas.openxmlformats.org/spreadsheetml/2006/main" count="172" uniqueCount="43">
  <si>
    <t>year</t>
  </si>
  <si>
    <t>industry</t>
  </si>
  <si>
    <t>employed_persons</t>
  </si>
  <si>
    <t>Agriculture, forestry and fishing</t>
  </si>
  <si>
    <t>Mining</t>
  </si>
  <si>
    <t>Manufacturing</t>
  </si>
  <si>
    <t>Electricity, gas, water and waste services</t>
  </si>
  <si>
    <t>Construction</t>
  </si>
  <si>
    <t>Wholesale trade</t>
  </si>
  <si>
    <t>Retail trade</t>
  </si>
  <si>
    <t>Accommodation and food services</t>
  </si>
  <si>
    <t>Transport, postal and warehousing</t>
  </si>
  <si>
    <t>Information media and telecommunications</t>
  </si>
  <si>
    <t>Financial and insurance services</t>
  </si>
  <si>
    <t>Rental, hiring and real estate services</t>
  </si>
  <si>
    <t>Professional, scientific and technical services</t>
  </si>
  <si>
    <t>Administrative and support services</t>
  </si>
  <si>
    <t>Public administration and safety</t>
  </si>
  <si>
    <t>Education and training</t>
  </si>
  <si>
    <t>Health care and social assistance</t>
  </si>
  <si>
    <t>Arts and recreation services</t>
  </si>
  <si>
    <t>Other services</t>
  </si>
  <si>
    <t>Row Labels</t>
  </si>
  <si>
    <t>Grand Total</t>
  </si>
  <si>
    <t>Sum of employed_persons</t>
  </si>
  <si>
    <t>Agriculture, Forestry and Fishing</t>
  </si>
  <si>
    <t>Electricity, Gas, Water and Waste Services</t>
  </si>
  <si>
    <t>Wholesale Trade</t>
  </si>
  <si>
    <t>Retail Trade</t>
  </si>
  <si>
    <t>Accommodation and Food Services</t>
  </si>
  <si>
    <t>Transport, Postal and Warehousing</t>
  </si>
  <si>
    <t>Information Media and Telecommunications</t>
  </si>
  <si>
    <t>Financial and Insurance Services</t>
  </si>
  <si>
    <t>Rental, Hiring and Real Estate Services</t>
  </si>
  <si>
    <t>Professional, Scientific and Technical Services</t>
  </si>
  <si>
    <t>Administrative and Support Services</t>
  </si>
  <si>
    <t xml:space="preserve">Public Administration and Safety </t>
  </si>
  <si>
    <t>Education and Training</t>
  </si>
  <si>
    <t>Health Care and Social Assistance</t>
  </si>
  <si>
    <t>Arts and Recreation Services</t>
  </si>
  <si>
    <t>Other Services</t>
  </si>
  <si>
    <t>Inadequately described/Not stated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</si>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</sst>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2" fillId="0" borderId="0" xfId="2" applyNumberFormat="1" applyFont="1"/>
    <xf numFmtId="3" fontId="4" fillId="0" borderId="0" xfId="2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 vertical="center"/>
    </xf>
    <xf numFmtId="0" fontId="4" fillId="0" borderId="0" xfId="1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2" fontId="0" fillId="0" borderId="0" xfId="0" applyNumberFormat="1"/>
    <xf numFmtId="171" fontId="0" fillId="0" borderId="0" xfId="0" applyNumberFormat="1"/>
  </cellXfs>
  <cellStyles count="3">
    <cellStyle name="Normal" xfId="0" builtinId="0"/>
    <cellStyle name="Normal 2 2 3" xfId="2" xr:uid="{90F5A777-D69D-42EF-A9B7-7F281C6EFB0D}"/>
    <cellStyle name="Normal 2 3" xfId="1" xr:uid="{796076DA-B0B5-4932-8876-88A46DF1D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 Rizai" refreshedDate="46301.793585069441" createdVersion="8" refreshedVersion="8" minRefreshableVersion="3" recordCount="63" xr:uid="{6F3DD320-5F5B-4056-AE5C-F80177115C97}">
  <cacheSource type="worksheet">
    <worksheetSource ref="A1:C64" sheet="Sheet1"/>
  </cacheSource>
  <cacheFields count="3">
    <cacheField name="year" numFmtId="0">
      <sharedItems containsSemiMixedTypes="0" containsString="0" containsNumber="1" containsInteger="1" minValue="2011" maxValue="2021" count="3">
        <n v="2011"/>
        <n v="2016"/>
        <n v="2021"/>
      </sharedItems>
    </cacheField>
    <cacheField name="industry" numFmtId="0">
      <sharedItems count="22">
        <s v="Agriculture, forestry and fishing"/>
        <s v="Mining"/>
        <s v="Manufacturing"/>
        <s v="Electricity, gas, water and waste services"/>
        <s v="Construction"/>
        <s v="Wholesale trade"/>
        <s v="Retail trade"/>
        <s v="Accommodation and food services"/>
        <s v="Transport, postal and warehousing"/>
        <s v="Information media and telecommunications"/>
        <s v="Financial and insurance services"/>
        <s v="Rental, hiring and real estate services"/>
        <s v="Professional, scientific and technical services"/>
        <s v="Administrative and support services"/>
        <s v="Public administration and safety"/>
        <s v="Education and training"/>
        <s v="Health care and social assistance"/>
        <s v="Arts and recreation services"/>
        <s v="Other services"/>
        <s v="Inadequately described/Not stated"/>
        <s v="TOTAL"/>
        <s v="Public Administration and Safety "/>
      </sharedItems>
    </cacheField>
    <cacheField name="employed_persons" numFmtId="3">
      <sharedItems containsSemiMixedTypes="0" containsString="0" containsNumber="1" containsInteger="1" minValue="115611" maxValue="12049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n v="249828"/>
  </r>
  <r>
    <x v="0"/>
    <x v="1"/>
    <n v="176563"/>
  </r>
  <r>
    <x v="0"/>
    <x v="2"/>
    <n v="902829"/>
  </r>
  <r>
    <x v="0"/>
    <x v="3"/>
    <n v="115611"/>
  </r>
  <r>
    <x v="0"/>
    <x v="4"/>
    <n v="828910"/>
  </r>
  <r>
    <x v="0"/>
    <x v="5"/>
    <n v="403801"/>
  </r>
  <r>
    <x v="0"/>
    <x v="6"/>
    <n v="1057310"/>
  </r>
  <r>
    <x v="0"/>
    <x v="7"/>
    <n v="650397"/>
  </r>
  <r>
    <x v="0"/>
    <x v="8"/>
    <n v="479181"/>
  </r>
  <r>
    <x v="0"/>
    <x v="9"/>
    <n v="178190"/>
  </r>
  <r>
    <x v="0"/>
    <x v="10"/>
    <n v="377352"/>
  </r>
  <r>
    <x v="0"/>
    <x v="11"/>
    <n v="158853"/>
  </r>
  <r>
    <x v="0"/>
    <x v="12"/>
    <n v="730062"/>
  </r>
  <r>
    <x v="0"/>
    <x v="13"/>
    <n v="323779"/>
  </r>
  <r>
    <x v="0"/>
    <x v="14"/>
    <n v="689931"/>
  </r>
  <r>
    <x v="0"/>
    <x v="15"/>
    <n v="804418"/>
  </r>
  <r>
    <x v="0"/>
    <x v="16"/>
    <n v="1167634"/>
  </r>
  <r>
    <x v="0"/>
    <x v="17"/>
    <n v="151574"/>
  </r>
  <r>
    <x v="0"/>
    <x v="18"/>
    <n v="378217"/>
  </r>
  <r>
    <x v="0"/>
    <x v="19"/>
    <n v="233885"/>
  </r>
  <r>
    <x v="0"/>
    <x v="20"/>
    <n v="10058325"/>
  </r>
  <r>
    <x v="1"/>
    <x v="0"/>
    <n v="266946"/>
  </r>
  <r>
    <x v="1"/>
    <x v="1"/>
    <n v="177647"/>
  </r>
  <r>
    <x v="1"/>
    <x v="2"/>
    <n v="683688"/>
  </r>
  <r>
    <x v="1"/>
    <x v="3"/>
    <n v="115753"/>
  </r>
  <r>
    <x v="1"/>
    <x v="4"/>
    <n v="911056"/>
  </r>
  <r>
    <x v="1"/>
    <x v="5"/>
    <n v="307741"/>
  </r>
  <r>
    <x v="1"/>
    <x v="6"/>
    <n v="1053816"/>
  </r>
  <r>
    <x v="1"/>
    <x v="7"/>
    <n v="738231"/>
  </r>
  <r>
    <x v="1"/>
    <x v="8"/>
    <n v="499491"/>
  </r>
  <r>
    <x v="1"/>
    <x v="9"/>
    <n v="179521"/>
  </r>
  <r>
    <x v="1"/>
    <x v="10"/>
    <n v="384608"/>
  </r>
  <r>
    <x v="1"/>
    <x v="11"/>
    <n v="182151"/>
  </r>
  <r>
    <x v="1"/>
    <x v="12"/>
    <n v="775978"/>
  </r>
  <r>
    <x v="1"/>
    <x v="13"/>
    <n v="365731"/>
  </r>
  <r>
    <x v="1"/>
    <x v="21"/>
    <n v="713135"/>
  </r>
  <r>
    <x v="1"/>
    <x v="15"/>
    <n v="925895"/>
  </r>
  <r>
    <x v="1"/>
    <x v="16"/>
    <n v="1351015"/>
  </r>
  <r>
    <x v="1"/>
    <x v="17"/>
    <n v="176667"/>
  </r>
  <r>
    <x v="1"/>
    <x v="18"/>
    <n v="399635"/>
  </r>
  <r>
    <x v="1"/>
    <x v="19"/>
    <n v="475143"/>
  </r>
  <r>
    <x v="1"/>
    <x v="20"/>
    <n v="10683842"/>
  </r>
  <r>
    <x v="2"/>
    <x v="0"/>
    <n v="282227"/>
  </r>
  <r>
    <x v="2"/>
    <x v="1"/>
    <n v="214759"/>
  </r>
  <r>
    <x v="2"/>
    <x v="2"/>
    <n v="714759"/>
  </r>
  <r>
    <x v="2"/>
    <x v="3"/>
    <n v="134368"/>
  </r>
  <r>
    <x v="2"/>
    <x v="4"/>
    <n v="1067645"/>
  </r>
  <r>
    <x v="2"/>
    <x v="5"/>
    <n v="311863"/>
  </r>
  <r>
    <x v="2"/>
    <x v="6"/>
    <n v="1099617"/>
  </r>
  <r>
    <x v="2"/>
    <x v="7"/>
    <n v="783737"/>
  </r>
  <r>
    <x v="2"/>
    <x v="8"/>
    <n v="546364"/>
  </r>
  <r>
    <x v="2"/>
    <x v="9"/>
    <n v="166872"/>
  </r>
  <r>
    <x v="2"/>
    <x v="10"/>
    <n v="445121"/>
  </r>
  <r>
    <x v="2"/>
    <x v="11"/>
    <n v="187621"/>
  </r>
  <r>
    <x v="2"/>
    <x v="12"/>
    <n v="945094"/>
  </r>
  <r>
    <x v="2"/>
    <x v="13"/>
    <n v="388432"/>
  </r>
  <r>
    <x v="2"/>
    <x v="21"/>
    <n v="797031"/>
  </r>
  <r>
    <x v="2"/>
    <x v="15"/>
    <n v="1061320"/>
  </r>
  <r>
    <x v="2"/>
    <x v="16"/>
    <n v="1751717"/>
  </r>
  <r>
    <x v="2"/>
    <x v="17"/>
    <n v="188479"/>
  </r>
  <r>
    <x v="2"/>
    <x v="18"/>
    <n v="435459"/>
  </r>
  <r>
    <x v="2"/>
    <x v="19"/>
    <n v="526932"/>
  </r>
  <r>
    <x v="2"/>
    <x v="20"/>
    <n v="120494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0BB93-44D4-49BA-9E3A-BFC237F8EF88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96" firstHeaderRow="1" firstDataRow="1" firstDataCol="1"/>
  <pivotFields count="3">
    <pivotField axis="axisRow" showAll="0" sortType="ascending">
      <items count="4">
        <item x="0"/>
        <item x="1"/>
        <item x="2"/>
        <item t="default"/>
      </items>
    </pivotField>
    <pivotField axis="axisRow" showAll="0" sortType="descending">
      <items count="23">
        <item x="7"/>
        <item x="13"/>
        <item x="0"/>
        <item x="17"/>
        <item x="4"/>
        <item x="15"/>
        <item x="3"/>
        <item x="10"/>
        <item x="16"/>
        <item x="19"/>
        <item x="9"/>
        <item x="2"/>
        <item x="1"/>
        <item x="18"/>
        <item x="12"/>
        <item x="14"/>
        <item x="21"/>
        <item x="11"/>
        <item x="6"/>
        <item x="20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</pivotFields>
  <rowFields count="2">
    <field x="1"/>
    <field x="0"/>
  </rowFields>
  <rowItems count="86">
    <i>
      <x v="19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16"/>
    </i>
    <i r="1">
      <x v="1"/>
    </i>
    <i r="1">
      <x v="2"/>
    </i>
    <i>
      <x v="9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15"/>
    </i>
    <i r="1">
      <x/>
    </i>
    <i>
      <x v="12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t="grand">
      <x/>
    </i>
  </rowItems>
  <colItems count="1">
    <i/>
  </colItems>
  <dataFields count="1">
    <dataField name="Sum of employed_persons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opLeftCell="A46" zoomScaleNormal="100" workbookViewId="0">
      <selection activeCell="C43" sqref="C43"/>
    </sheetView>
  </sheetViews>
  <sheetFormatPr defaultRowHeight="14.4" x14ac:dyDescent="0.3"/>
  <cols>
    <col min="2" max="2" width="29.5546875" customWidth="1"/>
    <col min="3" max="3" width="22.33203125" customWidth="1"/>
    <col min="5" max="5" width="41" bestFit="1" customWidth="1"/>
    <col min="6" max="6" width="23.77734375" bestFit="1" customWidth="1"/>
    <col min="7" max="7" width="11.10937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2011</v>
      </c>
      <c r="B2" s="1" t="s">
        <v>3</v>
      </c>
      <c r="C2" s="2">
        <v>249828</v>
      </c>
    </row>
    <row r="3" spans="1:6" x14ac:dyDescent="0.3">
      <c r="A3">
        <v>2011</v>
      </c>
      <c r="B3" s="1" t="s">
        <v>4</v>
      </c>
      <c r="C3" s="2">
        <v>176563</v>
      </c>
    </row>
    <row r="4" spans="1:6" x14ac:dyDescent="0.3">
      <c r="A4">
        <v>2011</v>
      </c>
      <c r="B4" s="1" t="s">
        <v>5</v>
      </c>
      <c r="C4" s="2">
        <v>902829</v>
      </c>
    </row>
    <row r="5" spans="1:6" x14ac:dyDescent="0.3">
      <c r="A5">
        <v>2011</v>
      </c>
      <c r="B5" s="1" t="s">
        <v>6</v>
      </c>
      <c r="C5" s="2">
        <v>115611</v>
      </c>
    </row>
    <row r="6" spans="1:6" x14ac:dyDescent="0.3">
      <c r="A6">
        <v>2011</v>
      </c>
      <c r="B6" s="1" t="s">
        <v>7</v>
      </c>
      <c r="C6" s="2">
        <v>828910</v>
      </c>
    </row>
    <row r="7" spans="1:6" x14ac:dyDescent="0.3">
      <c r="A7">
        <v>2011</v>
      </c>
      <c r="B7" s="1" t="s">
        <v>8</v>
      </c>
      <c r="C7" s="2">
        <v>403801</v>
      </c>
    </row>
    <row r="8" spans="1:6" x14ac:dyDescent="0.3">
      <c r="A8">
        <v>2011</v>
      </c>
      <c r="B8" s="1" t="s">
        <v>9</v>
      </c>
      <c r="C8" s="2">
        <v>1057310</v>
      </c>
    </row>
    <row r="9" spans="1:6" x14ac:dyDescent="0.3">
      <c r="A9">
        <v>2011</v>
      </c>
      <c r="B9" s="1" t="s">
        <v>10</v>
      </c>
      <c r="C9" s="2">
        <v>650397</v>
      </c>
    </row>
    <row r="10" spans="1:6" x14ac:dyDescent="0.3">
      <c r="A10">
        <v>2011</v>
      </c>
      <c r="B10" s="1" t="s">
        <v>11</v>
      </c>
      <c r="C10" s="2">
        <v>479181</v>
      </c>
      <c r="E10" s="3" t="s">
        <v>22</v>
      </c>
      <c r="F10" t="s">
        <v>24</v>
      </c>
    </row>
    <row r="11" spans="1:6" x14ac:dyDescent="0.3">
      <c r="A11">
        <v>2011</v>
      </c>
      <c r="B11" s="1" t="s">
        <v>12</v>
      </c>
      <c r="C11" s="2">
        <v>178190</v>
      </c>
      <c r="E11" s="4" t="s">
        <v>42</v>
      </c>
      <c r="F11" s="5">
        <v>32791577</v>
      </c>
    </row>
    <row r="12" spans="1:6" x14ac:dyDescent="0.3">
      <c r="A12">
        <v>2011</v>
      </c>
      <c r="B12" s="1" t="s">
        <v>13</v>
      </c>
      <c r="C12" s="2">
        <v>377352</v>
      </c>
      <c r="E12" s="12">
        <v>2011</v>
      </c>
      <c r="F12" s="5">
        <v>10058325</v>
      </c>
    </row>
    <row r="13" spans="1:6" x14ac:dyDescent="0.3">
      <c r="A13">
        <v>2011</v>
      </c>
      <c r="B13" s="1" t="s">
        <v>14</v>
      </c>
      <c r="C13" s="2">
        <v>158853</v>
      </c>
      <c r="E13" s="12">
        <v>2016</v>
      </c>
      <c r="F13" s="5">
        <v>10683842</v>
      </c>
    </row>
    <row r="14" spans="1:6" x14ac:dyDescent="0.3">
      <c r="A14">
        <v>2011</v>
      </c>
      <c r="B14" s="1" t="s">
        <v>15</v>
      </c>
      <c r="C14" s="2">
        <v>730062</v>
      </c>
      <c r="E14" s="12">
        <v>2021</v>
      </c>
      <c r="F14" s="5">
        <v>12049410</v>
      </c>
    </row>
    <row r="15" spans="1:6" x14ac:dyDescent="0.3">
      <c r="A15">
        <v>2011</v>
      </c>
      <c r="B15" s="1" t="s">
        <v>16</v>
      </c>
      <c r="C15" s="2">
        <v>323779</v>
      </c>
      <c r="E15" s="4" t="s">
        <v>19</v>
      </c>
      <c r="F15" s="5">
        <v>4270366</v>
      </c>
    </row>
    <row r="16" spans="1:6" x14ac:dyDescent="0.3">
      <c r="A16">
        <v>2011</v>
      </c>
      <c r="B16" s="1" t="s">
        <v>17</v>
      </c>
      <c r="C16" s="2">
        <v>689931</v>
      </c>
      <c r="E16" s="12">
        <v>2011</v>
      </c>
      <c r="F16" s="5">
        <v>1167634</v>
      </c>
    </row>
    <row r="17" spans="1:6" x14ac:dyDescent="0.3">
      <c r="A17">
        <v>2011</v>
      </c>
      <c r="B17" s="1" t="s">
        <v>18</v>
      </c>
      <c r="C17" s="2">
        <v>804418</v>
      </c>
      <c r="E17" s="12">
        <v>2016</v>
      </c>
      <c r="F17" s="5">
        <v>1351015</v>
      </c>
    </row>
    <row r="18" spans="1:6" x14ac:dyDescent="0.3">
      <c r="A18">
        <v>2011</v>
      </c>
      <c r="B18" s="1" t="s">
        <v>19</v>
      </c>
      <c r="C18" s="2">
        <v>1167634</v>
      </c>
      <c r="E18" s="12">
        <v>2021</v>
      </c>
      <c r="F18" s="5">
        <v>1751717</v>
      </c>
    </row>
    <row r="19" spans="1:6" x14ac:dyDescent="0.3">
      <c r="A19">
        <v>2011</v>
      </c>
      <c r="B19" s="1" t="s">
        <v>20</v>
      </c>
      <c r="C19" s="2">
        <v>151574</v>
      </c>
      <c r="E19" s="4" t="s">
        <v>9</v>
      </c>
      <c r="F19" s="5">
        <v>3210743</v>
      </c>
    </row>
    <row r="20" spans="1:6" x14ac:dyDescent="0.3">
      <c r="A20">
        <v>2011</v>
      </c>
      <c r="B20" s="1" t="s">
        <v>21</v>
      </c>
      <c r="C20" s="2">
        <v>378217</v>
      </c>
      <c r="E20" s="12">
        <v>2011</v>
      </c>
      <c r="F20" s="5">
        <v>1057310</v>
      </c>
    </row>
    <row r="21" spans="1:6" x14ac:dyDescent="0.3">
      <c r="A21">
        <v>2011</v>
      </c>
      <c r="B21" s="1" t="s">
        <v>41</v>
      </c>
      <c r="C21" s="2">
        <v>233885</v>
      </c>
      <c r="E21" s="12">
        <v>2016</v>
      </c>
      <c r="F21" s="5">
        <v>1053816</v>
      </c>
    </row>
    <row r="22" spans="1:6" x14ac:dyDescent="0.3">
      <c r="A22">
        <v>2011</v>
      </c>
      <c r="B22" s="6" t="s">
        <v>42</v>
      </c>
      <c r="C22" s="9">
        <v>10058325</v>
      </c>
      <c r="E22" s="12">
        <v>2021</v>
      </c>
      <c r="F22" s="5">
        <v>1099617</v>
      </c>
    </row>
    <row r="23" spans="1:6" x14ac:dyDescent="0.3">
      <c r="A23">
        <v>2016</v>
      </c>
      <c r="B23" s="6" t="s">
        <v>25</v>
      </c>
      <c r="C23" s="2">
        <v>266946</v>
      </c>
      <c r="E23" s="4" t="s">
        <v>7</v>
      </c>
      <c r="F23" s="5">
        <v>2807611</v>
      </c>
    </row>
    <row r="24" spans="1:6" x14ac:dyDescent="0.3">
      <c r="A24">
        <v>2016</v>
      </c>
      <c r="B24" s="6" t="s">
        <v>4</v>
      </c>
      <c r="C24" s="2">
        <v>177647</v>
      </c>
      <c r="E24" s="12">
        <v>2011</v>
      </c>
      <c r="F24" s="5">
        <v>828910</v>
      </c>
    </row>
    <row r="25" spans="1:6" x14ac:dyDescent="0.3">
      <c r="A25">
        <v>2016</v>
      </c>
      <c r="B25" s="6" t="s">
        <v>5</v>
      </c>
      <c r="C25" s="2">
        <v>683688</v>
      </c>
      <c r="E25" s="12">
        <v>2016</v>
      </c>
      <c r="F25" s="5">
        <v>911056</v>
      </c>
    </row>
    <row r="26" spans="1:6" x14ac:dyDescent="0.3">
      <c r="A26">
        <v>2016</v>
      </c>
      <c r="B26" s="6" t="s">
        <v>26</v>
      </c>
      <c r="C26" s="2">
        <v>115753</v>
      </c>
      <c r="E26" s="12">
        <v>2021</v>
      </c>
      <c r="F26" s="5">
        <v>1067645</v>
      </c>
    </row>
    <row r="27" spans="1:6" x14ac:dyDescent="0.3">
      <c r="A27">
        <v>2016</v>
      </c>
      <c r="B27" s="6" t="s">
        <v>7</v>
      </c>
      <c r="C27" s="2">
        <v>911056</v>
      </c>
      <c r="E27" s="4" t="s">
        <v>18</v>
      </c>
      <c r="F27" s="5">
        <v>2791633</v>
      </c>
    </row>
    <row r="28" spans="1:6" x14ac:dyDescent="0.3">
      <c r="A28">
        <v>2016</v>
      </c>
      <c r="B28" s="6" t="s">
        <v>27</v>
      </c>
      <c r="C28" s="2">
        <v>307741</v>
      </c>
      <c r="E28" s="12">
        <v>2011</v>
      </c>
      <c r="F28" s="5">
        <v>804418</v>
      </c>
    </row>
    <row r="29" spans="1:6" x14ac:dyDescent="0.3">
      <c r="A29">
        <v>2016</v>
      </c>
      <c r="B29" s="6" t="s">
        <v>28</v>
      </c>
      <c r="C29" s="2">
        <v>1053816</v>
      </c>
      <c r="E29" s="12">
        <v>2016</v>
      </c>
      <c r="F29" s="5">
        <v>925895</v>
      </c>
    </row>
    <row r="30" spans="1:6" x14ac:dyDescent="0.3">
      <c r="A30">
        <v>2016</v>
      </c>
      <c r="B30" s="6" t="s">
        <v>29</v>
      </c>
      <c r="C30" s="2">
        <v>738231</v>
      </c>
      <c r="E30" s="12">
        <v>2021</v>
      </c>
      <c r="F30" s="5">
        <v>1061320</v>
      </c>
    </row>
    <row r="31" spans="1:6" x14ac:dyDescent="0.3">
      <c r="A31">
        <v>2016</v>
      </c>
      <c r="B31" s="6" t="s">
        <v>30</v>
      </c>
      <c r="C31" s="2">
        <v>499491</v>
      </c>
      <c r="E31" s="4" t="s">
        <v>15</v>
      </c>
      <c r="F31" s="5">
        <v>2451134</v>
      </c>
    </row>
    <row r="32" spans="1:6" x14ac:dyDescent="0.3">
      <c r="A32">
        <v>2016</v>
      </c>
      <c r="B32" s="6" t="s">
        <v>31</v>
      </c>
      <c r="C32" s="2">
        <v>179521</v>
      </c>
      <c r="E32" s="12">
        <v>2011</v>
      </c>
      <c r="F32" s="5">
        <v>730062</v>
      </c>
    </row>
    <row r="33" spans="1:6" x14ac:dyDescent="0.3">
      <c r="A33">
        <v>2016</v>
      </c>
      <c r="B33" s="6" t="s">
        <v>32</v>
      </c>
      <c r="C33" s="2">
        <v>384608</v>
      </c>
      <c r="E33" s="12">
        <v>2016</v>
      </c>
      <c r="F33" s="5">
        <v>775978</v>
      </c>
    </row>
    <row r="34" spans="1:6" x14ac:dyDescent="0.3">
      <c r="A34">
        <v>2016</v>
      </c>
      <c r="B34" s="6" t="s">
        <v>33</v>
      </c>
      <c r="C34" s="2">
        <v>182151</v>
      </c>
      <c r="E34" s="12">
        <v>2021</v>
      </c>
      <c r="F34" s="5">
        <v>945094</v>
      </c>
    </row>
    <row r="35" spans="1:6" x14ac:dyDescent="0.3">
      <c r="A35">
        <v>2016</v>
      </c>
      <c r="B35" s="6" t="s">
        <v>34</v>
      </c>
      <c r="C35" s="2">
        <v>775978</v>
      </c>
      <c r="E35" s="4" t="s">
        <v>5</v>
      </c>
      <c r="F35" s="5">
        <v>2301276</v>
      </c>
    </row>
    <row r="36" spans="1:6" x14ac:dyDescent="0.3">
      <c r="A36">
        <v>2016</v>
      </c>
      <c r="B36" s="6" t="s">
        <v>35</v>
      </c>
      <c r="C36" s="2">
        <v>365731</v>
      </c>
      <c r="E36" s="12">
        <v>2011</v>
      </c>
      <c r="F36" s="5">
        <v>902829</v>
      </c>
    </row>
    <row r="37" spans="1:6" x14ac:dyDescent="0.3">
      <c r="A37">
        <v>2016</v>
      </c>
      <c r="B37" s="6" t="s">
        <v>36</v>
      </c>
      <c r="C37" s="2">
        <v>713135</v>
      </c>
      <c r="E37" s="12">
        <v>2016</v>
      </c>
      <c r="F37" s="5">
        <v>683688</v>
      </c>
    </row>
    <row r="38" spans="1:6" x14ac:dyDescent="0.3">
      <c r="A38">
        <v>2016</v>
      </c>
      <c r="B38" s="6" t="s">
        <v>37</v>
      </c>
      <c r="C38" s="2">
        <v>925895</v>
      </c>
      <c r="E38" s="12">
        <v>2021</v>
      </c>
      <c r="F38" s="5">
        <v>714759</v>
      </c>
    </row>
    <row r="39" spans="1:6" x14ac:dyDescent="0.3">
      <c r="A39">
        <v>2016</v>
      </c>
      <c r="B39" s="6" t="s">
        <v>38</v>
      </c>
      <c r="C39" s="2">
        <v>1351015</v>
      </c>
      <c r="E39" s="4" t="s">
        <v>10</v>
      </c>
      <c r="F39" s="5">
        <v>2172365</v>
      </c>
    </row>
    <row r="40" spans="1:6" x14ac:dyDescent="0.3">
      <c r="A40">
        <v>2016</v>
      </c>
      <c r="B40" s="6" t="s">
        <v>39</v>
      </c>
      <c r="C40" s="2">
        <v>176667</v>
      </c>
      <c r="E40" s="12">
        <v>2011</v>
      </c>
      <c r="F40" s="5">
        <v>650397</v>
      </c>
    </row>
    <row r="41" spans="1:6" x14ac:dyDescent="0.3">
      <c r="A41">
        <v>2016</v>
      </c>
      <c r="B41" s="6" t="s">
        <v>40</v>
      </c>
      <c r="C41" s="2">
        <v>399635</v>
      </c>
      <c r="E41" s="12">
        <v>2016</v>
      </c>
      <c r="F41" s="5">
        <v>738231</v>
      </c>
    </row>
    <row r="42" spans="1:6" x14ac:dyDescent="0.3">
      <c r="A42">
        <v>2016</v>
      </c>
      <c r="B42" s="1" t="s">
        <v>41</v>
      </c>
      <c r="C42" s="2">
        <v>475143</v>
      </c>
      <c r="E42" s="12">
        <v>2021</v>
      </c>
      <c r="F42" s="5">
        <v>783737</v>
      </c>
    </row>
    <row r="43" spans="1:6" x14ac:dyDescent="0.3">
      <c r="A43">
        <v>2016</v>
      </c>
      <c r="B43" s="7" t="s">
        <v>42</v>
      </c>
      <c r="C43" s="9">
        <v>10683842</v>
      </c>
      <c r="E43" s="4" t="s">
        <v>11</v>
      </c>
      <c r="F43" s="5">
        <v>1525036</v>
      </c>
    </row>
    <row r="44" spans="1:6" x14ac:dyDescent="0.3">
      <c r="A44">
        <v>2021</v>
      </c>
      <c r="B44" s="7" t="s">
        <v>25</v>
      </c>
      <c r="C44" s="8">
        <v>282227</v>
      </c>
      <c r="E44" s="12">
        <v>2011</v>
      </c>
      <c r="F44" s="5">
        <v>479181</v>
      </c>
    </row>
    <row r="45" spans="1:6" x14ac:dyDescent="0.3">
      <c r="A45">
        <v>2021</v>
      </c>
      <c r="B45" s="7" t="s">
        <v>4</v>
      </c>
      <c r="C45" s="8">
        <v>214759</v>
      </c>
      <c r="E45" s="12">
        <v>2016</v>
      </c>
      <c r="F45" s="5">
        <v>499491</v>
      </c>
    </row>
    <row r="46" spans="1:6" x14ac:dyDescent="0.3">
      <c r="A46">
        <v>2021</v>
      </c>
      <c r="B46" s="7" t="s">
        <v>5</v>
      </c>
      <c r="C46" s="8">
        <v>714759</v>
      </c>
      <c r="E46" s="12">
        <v>2021</v>
      </c>
      <c r="F46" s="5">
        <v>546364</v>
      </c>
    </row>
    <row r="47" spans="1:6" x14ac:dyDescent="0.3">
      <c r="A47">
        <v>2021</v>
      </c>
      <c r="B47" s="7" t="s">
        <v>26</v>
      </c>
      <c r="C47" s="8">
        <v>134368</v>
      </c>
      <c r="E47" s="4" t="s">
        <v>36</v>
      </c>
      <c r="F47" s="5">
        <v>1510166</v>
      </c>
    </row>
    <row r="48" spans="1:6" x14ac:dyDescent="0.3">
      <c r="A48">
        <v>2021</v>
      </c>
      <c r="B48" s="7" t="s">
        <v>7</v>
      </c>
      <c r="C48" s="8">
        <v>1067645</v>
      </c>
      <c r="E48" s="12">
        <v>2016</v>
      </c>
      <c r="F48" s="5">
        <v>713135</v>
      </c>
    </row>
    <row r="49" spans="1:6" x14ac:dyDescent="0.3">
      <c r="A49">
        <v>2021</v>
      </c>
      <c r="B49" s="7" t="s">
        <v>27</v>
      </c>
      <c r="C49" s="8">
        <v>311863</v>
      </c>
      <c r="E49" s="12">
        <v>2021</v>
      </c>
      <c r="F49" s="5">
        <v>797031</v>
      </c>
    </row>
    <row r="50" spans="1:6" x14ac:dyDescent="0.3">
      <c r="A50">
        <v>2021</v>
      </c>
      <c r="B50" s="7" t="s">
        <v>28</v>
      </c>
      <c r="C50" s="8">
        <v>1099617</v>
      </c>
      <c r="E50" s="4" t="s">
        <v>41</v>
      </c>
      <c r="F50" s="5">
        <v>1235960</v>
      </c>
    </row>
    <row r="51" spans="1:6" x14ac:dyDescent="0.3">
      <c r="A51">
        <v>2021</v>
      </c>
      <c r="B51" s="7" t="s">
        <v>29</v>
      </c>
      <c r="C51" s="8">
        <v>783737</v>
      </c>
      <c r="E51" s="12">
        <v>2011</v>
      </c>
      <c r="F51" s="5">
        <v>233885</v>
      </c>
    </row>
    <row r="52" spans="1:6" x14ac:dyDescent="0.3">
      <c r="A52">
        <v>2021</v>
      </c>
      <c r="B52" s="7" t="s">
        <v>30</v>
      </c>
      <c r="C52" s="8">
        <v>546364</v>
      </c>
      <c r="E52" s="12">
        <v>2016</v>
      </c>
      <c r="F52" s="5">
        <v>475143</v>
      </c>
    </row>
    <row r="53" spans="1:6" x14ac:dyDescent="0.3">
      <c r="A53">
        <v>2021</v>
      </c>
      <c r="B53" s="7" t="s">
        <v>31</v>
      </c>
      <c r="C53" s="8">
        <v>166872</v>
      </c>
      <c r="E53" s="12">
        <v>2021</v>
      </c>
      <c r="F53" s="5">
        <v>526932</v>
      </c>
    </row>
    <row r="54" spans="1:6" x14ac:dyDescent="0.3">
      <c r="A54">
        <v>2021</v>
      </c>
      <c r="B54" s="7" t="s">
        <v>32</v>
      </c>
      <c r="C54" s="8">
        <v>445121</v>
      </c>
      <c r="E54" s="4" t="s">
        <v>21</v>
      </c>
      <c r="F54" s="5">
        <v>1213311</v>
      </c>
    </row>
    <row r="55" spans="1:6" x14ac:dyDescent="0.3">
      <c r="A55">
        <v>2021</v>
      </c>
      <c r="B55" s="7" t="s">
        <v>33</v>
      </c>
      <c r="C55" s="8">
        <v>187621</v>
      </c>
      <c r="E55" s="12">
        <v>2011</v>
      </c>
      <c r="F55" s="5">
        <v>378217</v>
      </c>
    </row>
    <row r="56" spans="1:6" x14ac:dyDescent="0.3">
      <c r="A56">
        <v>2021</v>
      </c>
      <c r="B56" s="7" t="s">
        <v>34</v>
      </c>
      <c r="C56" s="8">
        <v>945094</v>
      </c>
      <c r="E56" s="12">
        <v>2016</v>
      </c>
      <c r="F56" s="5">
        <v>399635</v>
      </c>
    </row>
    <row r="57" spans="1:6" x14ac:dyDescent="0.3">
      <c r="A57">
        <v>2021</v>
      </c>
      <c r="B57" s="7" t="s">
        <v>35</v>
      </c>
      <c r="C57" s="8">
        <v>388432</v>
      </c>
      <c r="E57" s="12">
        <v>2021</v>
      </c>
      <c r="F57" s="5">
        <v>435459</v>
      </c>
    </row>
    <row r="58" spans="1:6" x14ac:dyDescent="0.3">
      <c r="A58">
        <v>2021</v>
      </c>
      <c r="B58" s="7" t="s">
        <v>36</v>
      </c>
      <c r="C58" s="8">
        <v>797031</v>
      </c>
      <c r="E58" s="4" t="s">
        <v>13</v>
      </c>
      <c r="F58" s="5">
        <v>1207081</v>
      </c>
    </row>
    <row r="59" spans="1:6" x14ac:dyDescent="0.3">
      <c r="A59">
        <v>2021</v>
      </c>
      <c r="B59" s="7" t="s">
        <v>37</v>
      </c>
      <c r="C59" s="8">
        <v>1061320</v>
      </c>
      <c r="E59" s="12">
        <v>2011</v>
      </c>
      <c r="F59" s="5">
        <v>377352</v>
      </c>
    </row>
    <row r="60" spans="1:6" x14ac:dyDescent="0.3">
      <c r="A60">
        <v>2021</v>
      </c>
      <c r="B60" s="7" t="s">
        <v>38</v>
      </c>
      <c r="C60" s="8">
        <v>1751717</v>
      </c>
      <c r="E60" s="12">
        <v>2016</v>
      </c>
      <c r="F60" s="5">
        <v>384608</v>
      </c>
    </row>
    <row r="61" spans="1:6" x14ac:dyDescent="0.3">
      <c r="A61">
        <v>2021</v>
      </c>
      <c r="B61" s="7" t="s">
        <v>39</v>
      </c>
      <c r="C61" s="8">
        <v>188479</v>
      </c>
      <c r="E61" s="12">
        <v>2021</v>
      </c>
      <c r="F61" s="5">
        <v>445121</v>
      </c>
    </row>
    <row r="62" spans="1:6" x14ac:dyDescent="0.3">
      <c r="A62">
        <v>2021</v>
      </c>
      <c r="B62" s="7" t="s">
        <v>40</v>
      </c>
      <c r="C62" s="8">
        <v>435459</v>
      </c>
      <c r="E62" s="4" t="s">
        <v>16</v>
      </c>
      <c r="F62" s="5">
        <v>1077942</v>
      </c>
    </row>
    <row r="63" spans="1:6" x14ac:dyDescent="0.3">
      <c r="A63">
        <v>2021</v>
      </c>
      <c r="B63" s="10" t="s">
        <v>41</v>
      </c>
      <c r="C63" s="8">
        <v>526932</v>
      </c>
      <c r="E63" s="12">
        <v>2011</v>
      </c>
      <c r="F63" s="5">
        <v>323779</v>
      </c>
    </row>
    <row r="64" spans="1:6" x14ac:dyDescent="0.3">
      <c r="A64">
        <v>2021</v>
      </c>
      <c r="B64" s="7" t="s">
        <v>42</v>
      </c>
      <c r="C64" s="11">
        <v>12049410</v>
      </c>
      <c r="E64" s="12">
        <v>2016</v>
      </c>
      <c r="F64" s="5">
        <v>365731</v>
      </c>
    </row>
    <row r="65" spans="5:6" x14ac:dyDescent="0.3">
      <c r="E65" s="12">
        <v>2021</v>
      </c>
      <c r="F65" s="5">
        <v>388432</v>
      </c>
    </row>
    <row r="66" spans="5:6" x14ac:dyDescent="0.3">
      <c r="E66" s="4" t="s">
        <v>8</v>
      </c>
      <c r="F66" s="5">
        <v>1023405</v>
      </c>
    </row>
    <row r="67" spans="5:6" x14ac:dyDescent="0.3">
      <c r="E67" s="12">
        <v>2011</v>
      </c>
      <c r="F67" s="5">
        <v>403801</v>
      </c>
    </row>
    <row r="68" spans="5:6" x14ac:dyDescent="0.3">
      <c r="E68" s="12">
        <v>2016</v>
      </c>
      <c r="F68" s="5">
        <v>307741</v>
      </c>
    </row>
    <row r="69" spans="5:6" x14ac:dyDescent="0.3">
      <c r="E69" s="12">
        <v>2021</v>
      </c>
      <c r="F69" s="5">
        <v>311863</v>
      </c>
    </row>
    <row r="70" spans="5:6" x14ac:dyDescent="0.3">
      <c r="E70" s="4" t="s">
        <v>3</v>
      </c>
      <c r="F70" s="5">
        <v>799001</v>
      </c>
    </row>
    <row r="71" spans="5:6" x14ac:dyDescent="0.3">
      <c r="E71" s="12">
        <v>2011</v>
      </c>
      <c r="F71" s="5">
        <v>249828</v>
      </c>
    </row>
    <row r="72" spans="5:6" x14ac:dyDescent="0.3">
      <c r="E72" s="12">
        <v>2016</v>
      </c>
      <c r="F72" s="5">
        <v>266946</v>
      </c>
    </row>
    <row r="73" spans="5:6" x14ac:dyDescent="0.3">
      <c r="E73" s="12">
        <v>2021</v>
      </c>
      <c r="F73" s="5">
        <v>282227</v>
      </c>
    </row>
    <row r="74" spans="5:6" x14ac:dyDescent="0.3">
      <c r="E74" s="4" t="s">
        <v>17</v>
      </c>
      <c r="F74" s="5">
        <v>689931</v>
      </c>
    </row>
    <row r="75" spans="5:6" x14ac:dyDescent="0.3">
      <c r="E75" s="12">
        <v>2011</v>
      </c>
      <c r="F75" s="5">
        <v>689931</v>
      </c>
    </row>
    <row r="76" spans="5:6" x14ac:dyDescent="0.3">
      <c r="E76" s="4" t="s">
        <v>4</v>
      </c>
      <c r="F76" s="5">
        <v>568969</v>
      </c>
    </row>
    <row r="77" spans="5:6" x14ac:dyDescent="0.3">
      <c r="E77" s="12">
        <v>2011</v>
      </c>
      <c r="F77" s="5">
        <v>176563</v>
      </c>
    </row>
    <row r="78" spans="5:6" x14ac:dyDescent="0.3">
      <c r="E78" s="12">
        <v>2016</v>
      </c>
      <c r="F78" s="5">
        <v>177647</v>
      </c>
    </row>
    <row r="79" spans="5:6" x14ac:dyDescent="0.3">
      <c r="E79" s="12">
        <v>2021</v>
      </c>
      <c r="F79" s="5">
        <v>214759</v>
      </c>
    </row>
    <row r="80" spans="5:6" x14ac:dyDescent="0.3">
      <c r="E80" s="4" t="s">
        <v>14</v>
      </c>
      <c r="F80" s="5">
        <v>528625</v>
      </c>
    </row>
    <row r="81" spans="5:6" x14ac:dyDescent="0.3">
      <c r="E81" s="12">
        <v>2011</v>
      </c>
      <c r="F81" s="5">
        <v>158853</v>
      </c>
    </row>
    <row r="82" spans="5:6" x14ac:dyDescent="0.3">
      <c r="E82" s="12">
        <v>2016</v>
      </c>
      <c r="F82" s="5">
        <v>182151</v>
      </c>
    </row>
    <row r="83" spans="5:6" x14ac:dyDescent="0.3">
      <c r="E83" s="12">
        <v>2021</v>
      </c>
      <c r="F83" s="5">
        <v>187621</v>
      </c>
    </row>
    <row r="84" spans="5:6" x14ac:dyDescent="0.3">
      <c r="E84" s="4" t="s">
        <v>12</v>
      </c>
      <c r="F84" s="5">
        <v>524583</v>
      </c>
    </row>
    <row r="85" spans="5:6" x14ac:dyDescent="0.3">
      <c r="E85" s="12">
        <v>2011</v>
      </c>
      <c r="F85" s="5">
        <v>178190</v>
      </c>
    </row>
    <row r="86" spans="5:6" x14ac:dyDescent="0.3">
      <c r="E86" s="12">
        <v>2016</v>
      </c>
      <c r="F86" s="5">
        <v>179521</v>
      </c>
    </row>
    <row r="87" spans="5:6" x14ac:dyDescent="0.3">
      <c r="E87" s="12">
        <v>2021</v>
      </c>
      <c r="F87" s="5">
        <v>166872</v>
      </c>
    </row>
    <row r="88" spans="5:6" x14ac:dyDescent="0.3">
      <c r="E88" s="4" t="s">
        <v>20</v>
      </c>
      <c r="F88" s="5">
        <v>516720</v>
      </c>
    </row>
    <row r="89" spans="5:6" x14ac:dyDescent="0.3">
      <c r="E89" s="12">
        <v>2011</v>
      </c>
      <c r="F89" s="5">
        <v>151574</v>
      </c>
    </row>
    <row r="90" spans="5:6" x14ac:dyDescent="0.3">
      <c r="E90" s="12">
        <v>2016</v>
      </c>
      <c r="F90" s="5">
        <v>176667</v>
      </c>
    </row>
    <row r="91" spans="5:6" x14ac:dyDescent="0.3">
      <c r="E91" s="12">
        <v>2021</v>
      </c>
      <c r="F91" s="5">
        <v>188479</v>
      </c>
    </row>
    <row r="92" spans="5:6" x14ac:dyDescent="0.3">
      <c r="E92" s="4" t="s">
        <v>6</v>
      </c>
      <c r="F92" s="5">
        <v>365732</v>
      </c>
    </row>
    <row r="93" spans="5:6" x14ac:dyDescent="0.3">
      <c r="E93" s="12">
        <v>2011</v>
      </c>
      <c r="F93" s="5">
        <v>115611</v>
      </c>
    </row>
    <row r="94" spans="5:6" x14ac:dyDescent="0.3">
      <c r="E94" s="12">
        <v>2016</v>
      </c>
      <c r="F94" s="5">
        <v>115753</v>
      </c>
    </row>
    <row r="95" spans="5:6" x14ac:dyDescent="0.3">
      <c r="E95" s="12">
        <v>2021</v>
      </c>
      <c r="F95" s="5">
        <v>134368</v>
      </c>
    </row>
    <row r="96" spans="5:6" x14ac:dyDescent="0.3">
      <c r="E96" s="4" t="s">
        <v>23</v>
      </c>
      <c r="F96" s="5">
        <v>65583167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A7AC-6355-41C6-81EA-F6DCAFF4BAAC}">
  <dimension ref="A1:C25"/>
  <sheetViews>
    <sheetView workbookViewId="0">
      <selection activeCell="C5" sqref="C5"/>
    </sheetView>
  </sheetViews>
  <sheetFormatPr defaultRowHeight="14.4" x14ac:dyDescent="0.3"/>
  <cols>
    <col min="2" max="2" width="32" customWidth="1"/>
    <col min="3" max="3" width="2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2011</v>
      </c>
      <c r="B2" s="1" t="s">
        <v>5</v>
      </c>
      <c r="C2" s="5">
        <v>902829</v>
      </c>
    </row>
    <row r="3" spans="1:3" x14ac:dyDescent="0.3">
      <c r="A3">
        <v>2011</v>
      </c>
      <c r="B3" s="1" t="s">
        <v>7</v>
      </c>
      <c r="C3" s="5">
        <v>828910</v>
      </c>
    </row>
    <row r="4" spans="1:3" x14ac:dyDescent="0.3">
      <c r="A4">
        <v>2011</v>
      </c>
      <c r="B4" s="1" t="s">
        <v>9</v>
      </c>
      <c r="C4" s="5">
        <v>1057310</v>
      </c>
    </row>
    <row r="5" spans="1:3" x14ac:dyDescent="0.3">
      <c r="A5">
        <v>2011</v>
      </c>
      <c r="B5" s="1" t="s">
        <v>11</v>
      </c>
      <c r="C5" s="5">
        <v>479181</v>
      </c>
    </row>
    <row r="6" spans="1:3" x14ac:dyDescent="0.3">
      <c r="A6">
        <v>2011</v>
      </c>
      <c r="B6" s="1" t="s">
        <v>15</v>
      </c>
      <c r="C6" s="5">
        <v>730062</v>
      </c>
    </row>
    <row r="7" spans="1:3" x14ac:dyDescent="0.3">
      <c r="A7">
        <v>2011</v>
      </c>
      <c r="B7" s="1" t="s">
        <v>18</v>
      </c>
      <c r="C7" s="5">
        <v>804418</v>
      </c>
    </row>
    <row r="8" spans="1:3" x14ac:dyDescent="0.3">
      <c r="A8">
        <v>2011</v>
      </c>
      <c r="B8" s="1" t="s">
        <v>19</v>
      </c>
      <c r="C8" s="5">
        <v>1167634</v>
      </c>
    </row>
    <row r="9" spans="1:3" x14ac:dyDescent="0.3">
      <c r="A9">
        <v>2011</v>
      </c>
      <c r="B9" s="1" t="s">
        <v>10</v>
      </c>
      <c r="C9" s="5">
        <v>650397</v>
      </c>
    </row>
    <row r="10" spans="1:3" x14ac:dyDescent="0.3">
      <c r="A10">
        <v>2016</v>
      </c>
      <c r="B10" s="1" t="s">
        <v>5</v>
      </c>
      <c r="C10" s="5">
        <v>683688</v>
      </c>
    </row>
    <row r="11" spans="1:3" x14ac:dyDescent="0.3">
      <c r="A11">
        <v>2016</v>
      </c>
      <c r="B11" s="1" t="s">
        <v>7</v>
      </c>
      <c r="C11" s="5">
        <v>911056</v>
      </c>
    </row>
    <row r="12" spans="1:3" x14ac:dyDescent="0.3">
      <c r="A12">
        <v>2016</v>
      </c>
      <c r="B12" s="1" t="s">
        <v>9</v>
      </c>
      <c r="C12" s="5">
        <v>1053816</v>
      </c>
    </row>
    <row r="13" spans="1:3" x14ac:dyDescent="0.3">
      <c r="A13">
        <v>2016</v>
      </c>
      <c r="B13" s="1" t="s">
        <v>11</v>
      </c>
      <c r="C13" s="5">
        <v>499491</v>
      </c>
    </row>
    <row r="14" spans="1:3" x14ac:dyDescent="0.3">
      <c r="A14">
        <v>2016</v>
      </c>
      <c r="B14" s="1" t="s">
        <v>15</v>
      </c>
      <c r="C14" s="5">
        <v>775978</v>
      </c>
    </row>
    <row r="15" spans="1:3" x14ac:dyDescent="0.3">
      <c r="A15">
        <v>2016</v>
      </c>
      <c r="B15" s="1" t="s">
        <v>18</v>
      </c>
      <c r="C15" s="5">
        <v>925895</v>
      </c>
    </row>
    <row r="16" spans="1:3" x14ac:dyDescent="0.3">
      <c r="A16">
        <v>2016</v>
      </c>
      <c r="B16" s="1" t="s">
        <v>19</v>
      </c>
      <c r="C16" s="5">
        <v>1351015</v>
      </c>
    </row>
    <row r="17" spans="1:3" x14ac:dyDescent="0.3">
      <c r="A17">
        <v>2016</v>
      </c>
      <c r="B17" s="1" t="s">
        <v>10</v>
      </c>
      <c r="C17" s="5">
        <v>738231</v>
      </c>
    </row>
    <row r="18" spans="1:3" x14ac:dyDescent="0.3">
      <c r="A18">
        <v>2021</v>
      </c>
      <c r="B18" s="1" t="s">
        <v>5</v>
      </c>
      <c r="C18" s="5">
        <v>714759</v>
      </c>
    </row>
    <row r="19" spans="1:3" x14ac:dyDescent="0.3">
      <c r="A19">
        <v>2021</v>
      </c>
      <c r="B19" s="1" t="s">
        <v>7</v>
      </c>
      <c r="C19" s="5">
        <v>1067645</v>
      </c>
    </row>
    <row r="20" spans="1:3" x14ac:dyDescent="0.3">
      <c r="A20">
        <v>2021</v>
      </c>
      <c r="B20" s="1" t="s">
        <v>9</v>
      </c>
      <c r="C20" s="5">
        <v>1099617</v>
      </c>
    </row>
    <row r="21" spans="1:3" x14ac:dyDescent="0.3">
      <c r="A21">
        <v>2021</v>
      </c>
      <c r="B21" s="1" t="s">
        <v>11</v>
      </c>
      <c r="C21" s="5">
        <v>546364</v>
      </c>
    </row>
    <row r="22" spans="1:3" x14ac:dyDescent="0.3">
      <c r="A22">
        <v>2021</v>
      </c>
      <c r="B22" s="1" t="s">
        <v>15</v>
      </c>
      <c r="C22" s="5">
        <v>945094</v>
      </c>
    </row>
    <row r="23" spans="1:3" x14ac:dyDescent="0.3">
      <c r="A23">
        <v>2021</v>
      </c>
      <c r="B23" s="1" t="s">
        <v>18</v>
      </c>
      <c r="C23" s="5">
        <v>1061320</v>
      </c>
    </row>
    <row r="24" spans="1:3" x14ac:dyDescent="0.3">
      <c r="A24">
        <v>2021</v>
      </c>
      <c r="B24" s="1" t="s">
        <v>19</v>
      </c>
      <c r="C24" s="5">
        <v>1751717</v>
      </c>
    </row>
    <row r="25" spans="1:3" x14ac:dyDescent="0.3">
      <c r="A25">
        <v>2021</v>
      </c>
      <c r="B25" s="1" t="s">
        <v>10</v>
      </c>
      <c r="C25" s="5">
        <v>783737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F798-BDA8-4E7D-8ADF-D7E2A9BF0561}">
  <dimension ref="A1:E25"/>
  <sheetViews>
    <sheetView workbookViewId="0">
      <selection activeCell="E25" sqref="E2:E25"/>
    </sheetView>
  </sheetViews>
  <sheetFormatPr defaultRowHeight="14.4" x14ac:dyDescent="0.3"/>
  <cols>
    <col min="2" max="2" width="34.5546875" customWidth="1"/>
    <col min="3" max="3" width="24.109375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2011</v>
      </c>
      <c r="B2" s="1" t="s">
        <v>5</v>
      </c>
      <c r="C2" s="5">
        <v>902829</v>
      </c>
      <c r="D2" s="14">
        <f>C2/(Sheet1!$C$22-Sheet1!$C$21)</f>
        <v>9.1896230217701977E-2</v>
      </c>
      <c r="E2">
        <f>D2*100</f>
        <v>9.1896230217701973</v>
      </c>
    </row>
    <row r="3" spans="1:5" x14ac:dyDescent="0.3">
      <c r="A3">
        <v>2011</v>
      </c>
      <c r="B3" s="1" t="s">
        <v>7</v>
      </c>
      <c r="C3" s="5">
        <v>828910</v>
      </c>
      <c r="D3" s="14">
        <f>C3/(Sheet1!$C$22-Sheet1!$C$21)</f>
        <v>8.4372239028382284E-2</v>
      </c>
      <c r="E3">
        <f t="shared" ref="E3:E25" si="0">D3*100</f>
        <v>8.4372239028382285</v>
      </c>
    </row>
    <row r="4" spans="1:5" x14ac:dyDescent="0.3">
      <c r="A4">
        <v>2011</v>
      </c>
      <c r="B4" s="1" t="s">
        <v>9</v>
      </c>
      <c r="C4" s="5">
        <v>1057310</v>
      </c>
      <c r="D4" s="14">
        <f>C4/(Sheet1!$C$22-Sheet1!$C$21)</f>
        <v>0.10762038345188123</v>
      </c>
      <c r="E4">
        <f t="shared" si="0"/>
        <v>10.762038345188122</v>
      </c>
    </row>
    <row r="5" spans="1:5" x14ac:dyDescent="0.3">
      <c r="A5">
        <v>2011</v>
      </c>
      <c r="B5" s="1" t="s">
        <v>11</v>
      </c>
      <c r="C5" s="5">
        <v>479181</v>
      </c>
      <c r="D5" s="14">
        <f>C5/(Sheet1!$C$22-Sheet1!$C$21)</f>
        <v>4.8774383069162215E-2</v>
      </c>
      <c r="E5">
        <f t="shared" si="0"/>
        <v>4.8774383069162219</v>
      </c>
    </row>
    <row r="6" spans="1:5" x14ac:dyDescent="0.3">
      <c r="A6">
        <v>2011</v>
      </c>
      <c r="B6" s="1" t="s">
        <v>15</v>
      </c>
      <c r="C6" s="5">
        <v>730062</v>
      </c>
      <c r="D6" s="14">
        <f>C6/(Sheet1!$C$22-Sheet1!$C$21)</f>
        <v>7.4310800412033667E-2</v>
      </c>
      <c r="E6">
        <f t="shared" si="0"/>
        <v>7.4310800412033666</v>
      </c>
    </row>
    <row r="7" spans="1:5" x14ac:dyDescent="0.3">
      <c r="A7">
        <v>2011</v>
      </c>
      <c r="B7" s="1" t="s">
        <v>18</v>
      </c>
      <c r="C7" s="5">
        <v>804418</v>
      </c>
      <c r="D7" s="14">
        <f>C7/(Sheet1!$C$22-Sheet1!$C$21)</f>
        <v>8.1879272508153134E-2</v>
      </c>
      <c r="E7">
        <f t="shared" si="0"/>
        <v>8.1879272508153136</v>
      </c>
    </row>
    <row r="8" spans="1:5" x14ac:dyDescent="0.3">
      <c r="A8">
        <v>2011</v>
      </c>
      <c r="B8" s="1" t="s">
        <v>19</v>
      </c>
      <c r="C8" s="5">
        <v>1167634</v>
      </c>
      <c r="D8" s="14">
        <f>C8/(Sheet1!$C$22-Sheet1!$C$21)</f>
        <v>0.11884992935984137</v>
      </c>
      <c r="E8">
        <f t="shared" si="0"/>
        <v>11.884992935984137</v>
      </c>
    </row>
    <row r="9" spans="1:5" x14ac:dyDescent="0.3">
      <c r="A9">
        <v>2011</v>
      </c>
      <c r="B9" s="1" t="s">
        <v>10</v>
      </c>
      <c r="C9" s="5">
        <v>650397</v>
      </c>
      <c r="D9" s="14">
        <f>C9/(Sheet1!$C$22-Sheet1!$C$21)</f>
        <v>6.6201941281131549E-2</v>
      </c>
      <c r="E9">
        <f t="shared" si="0"/>
        <v>6.6201941281131553</v>
      </c>
    </row>
    <row r="10" spans="1:5" x14ac:dyDescent="0.3">
      <c r="A10">
        <v>2016</v>
      </c>
      <c r="B10" s="1" t="s">
        <v>5</v>
      </c>
      <c r="C10" s="5">
        <v>683688</v>
      </c>
      <c r="D10">
        <f>C10/(Sheet1!$C$43-Sheet1!$C$42)</f>
        <v>6.6971119434513643E-2</v>
      </c>
      <c r="E10">
        <f t="shared" si="0"/>
        <v>6.6971119434513646</v>
      </c>
    </row>
    <row r="11" spans="1:5" x14ac:dyDescent="0.3">
      <c r="A11">
        <v>2016</v>
      </c>
      <c r="B11" s="1" t="s">
        <v>7</v>
      </c>
      <c r="C11" s="5">
        <v>911056</v>
      </c>
      <c r="D11">
        <f>C11/(Sheet1!$C$43-Sheet1!$C$42)</f>
        <v>8.9243105316358137E-2</v>
      </c>
      <c r="E11">
        <f t="shared" si="0"/>
        <v>8.9243105316358129</v>
      </c>
    </row>
    <row r="12" spans="1:5" x14ac:dyDescent="0.3">
      <c r="A12">
        <v>2016</v>
      </c>
      <c r="B12" s="1" t="s">
        <v>9</v>
      </c>
      <c r="C12" s="5">
        <v>1053816</v>
      </c>
      <c r="D12">
        <f>C12/(Sheet1!$C$43-Sheet1!$C$42)</f>
        <v>0.10322725745954504</v>
      </c>
      <c r="E12">
        <f t="shared" si="0"/>
        <v>10.322725745954504</v>
      </c>
    </row>
    <row r="13" spans="1:5" x14ac:dyDescent="0.3">
      <c r="A13">
        <v>2016</v>
      </c>
      <c r="B13" s="1" t="s">
        <v>11</v>
      </c>
      <c r="C13" s="5">
        <v>499491</v>
      </c>
      <c r="D13">
        <f>C13/(Sheet1!$C$43-Sheet1!$C$42)</f>
        <v>4.892797799210262E-2</v>
      </c>
      <c r="E13">
        <f t="shared" si="0"/>
        <v>4.8927977992102623</v>
      </c>
    </row>
    <row r="14" spans="1:5" x14ac:dyDescent="0.3">
      <c r="A14">
        <v>2016</v>
      </c>
      <c r="B14" s="1" t="s">
        <v>15</v>
      </c>
      <c r="C14" s="5">
        <v>775978</v>
      </c>
      <c r="D14">
        <f>C14/(Sheet1!$C$43-Sheet1!$C$42)</f>
        <v>7.6011448667455073E-2</v>
      </c>
      <c r="E14">
        <f t="shared" si="0"/>
        <v>7.601144866745507</v>
      </c>
    </row>
    <row r="15" spans="1:5" x14ac:dyDescent="0.3">
      <c r="A15">
        <v>2016</v>
      </c>
      <c r="B15" s="1" t="s">
        <v>18</v>
      </c>
      <c r="C15" s="5">
        <v>925895</v>
      </c>
      <c r="D15">
        <f>C15/(Sheet1!$C$43-Sheet1!$C$42)</f>
        <v>9.0696669575623695E-2</v>
      </c>
      <c r="E15">
        <f t="shared" si="0"/>
        <v>9.0696669575623687</v>
      </c>
    </row>
    <row r="16" spans="1:5" x14ac:dyDescent="0.3">
      <c r="A16">
        <v>2016</v>
      </c>
      <c r="B16" s="1" t="s">
        <v>19</v>
      </c>
      <c r="C16" s="5">
        <v>1351015</v>
      </c>
      <c r="D16">
        <f>C16/(Sheet1!$C$43-Sheet1!$C$42)</f>
        <v>0.13233958607262297</v>
      </c>
      <c r="E16">
        <f t="shared" si="0"/>
        <v>13.233958607262297</v>
      </c>
    </row>
    <row r="17" spans="1:5" x14ac:dyDescent="0.3">
      <c r="A17">
        <v>2016</v>
      </c>
      <c r="B17" s="1" t="s">
        <v>10</v>
      </c>
      <c r="C17" s="5">
        <v>738231</v>
      </c>
      <c r="D17">
        <f>C17/(Sheet1!$C$43-Sheet1!$C$42)</f>
        <v>7.231391580846884E-2</v>
      </c>
      <c r="E17">
        <f t="shared" si="0"/>
        <v>7.2313915808468838</v>
      </c>
    </row>
    <row r="18" spans="1:5" x14ac:dyDescent="0.3">
      <c r="A18">
        <v>2021</v>
      </c>
      <c r="B18" s="1" t="s">
        <v>5</v>
      </c>
      <c r="C18" s="5">
        <v>714759</v>
      </c>
      <c r="D18">
        <f>C18/(Sheet1!$C$64-Sheet1!$C$63)</f>
        <v>6.2031708804304073E-2</v>
      </c>
      <c r="E18">
        <f t="shared" si="0"/>
        <v>6.2031708804304069</v>
      </c>
    </row>
    <row r="19" spans="1:5" x14ac:dyDescent="0.3">
      <c r="A19">
        <v>2021</v>
      </c>
      <c r="B19" s="1" t="s">
        <v>7</v>
      </c>
      <c r="C19" s="5">
        <v>1067645</v>
      </c>
      <c r="D19">
        <f>C19/(Sheet1!$C$64-Sheet1!$C$63)</f>
        <v>9.2657586328218633E-2</v>
      </c>
      <c r="E19">
        <f t="shared" si="0"/>
        <v>9.2657586328218642</v>
      </c>
    </row>
    <row r="20" spans="1:5" x14ac:dyDescent="0.3">
      <c r="A20">
        <v>2021</v>
      </c>
      <c r="B20" s="1" t="s">
        <v>9</v>
      </c>
      <c r="C20" s="5">
        <v>1099617</v>
      </c>
      <c r="D20">
        <f>C20/(Sheet1!$C$64-Sheet1!$C$63)</f>
        <v>9.5432336690076558E-2</v>
      </c>
      <c r="E20">
        <f t="shared" si="0"/>
        <v>9.5432336690076554</v>
      </c>
    </row>
    <row r="21" spans="1:5" x14ac:dyDescent="0.3">
      <c r="A21">
        <v>2021</v>
      </c>
      <c r="B21" s="1" t="s">
        <v>11</v>
      </c>
      <c r="C21" s="5">
        <v>546364</v>
      </c>
      <c r="D21">
        <f>C21/(Sheet1!$C$64-Sheet1!$C$63)</f>
        <v>4.741723091161467E-2</v>
      </c>
      <c r="E21">
        <f t="shared" si="0"/>
        <v>4.7417230911614672</v>
      </c>
    </row>
    <row r="22" spans="1:5" x14ac:dyDescent="0.3">
      <c r="A22">
        <v>2021</v>
      </c>
      <c r="B22" s="1" t="s">
        <v>15</v>
      </c>
      <c r="C22" s="5">
        <v>945094</v>
      </c>
      <c r="D22">
        <f>C22/(Sheet1!$C$64-Sheet1!$C$63)</f>
        <v>8.2021766498491036E-2</v>
      </c>
      <c r="E22">
        <f t="shared" si="0"/>
        <v>8.202176649849104</v>
      </c>
    </row>
    <row r="23" spans="1:5" x14ac:dyDescent="0.3">
      <c r="A23">
        <v>2021</v>
      </c>
      <c r="B23" s="1" t="s">
        <v>18</v>
      </c>
      <c r="C23" s="5">
        <v>1061320</v>
      </c>
      <c r="D23">
        <f>C23/(Sheet1!$C$64-Sheet1!$C$63)</f>
        <v>9.2108659265828063E-2</v>
      </c>
      <c r="E23">
        <f t="shared" si="0"/>
        <v>9.210865926582807</v>
      </c>
    </row>
    <row r="24" spans="1:5" x14ac:dyDescent="0.3">
      <c r="A24">
        <v>2021</v>
      </c>
      <c r="B24" s="1" t="s">
        <v>19</v>
      </c>
      <c r="C24" s="5">
        <v>1751717</v>
      </c>
      <c r="D24">
        <f>C24/(Sheet1!$C$64-Sheet1!$C$63)</f>
        <v>0.15202606592088957</v>
      </c>
      <c r="E24">
        <f t="shared" si="0"/>
        <v>15.202606592088957</v>
      </c>
    </row>
    <row r="25" spans="1:5" x14ac:dyDescent="0.3">
      <c r="A25">
        <v>2021</v>
      </c>
      <c r="B25" s="1" t="s">
        <v>10</v>
      </c>
      <c r="C25" s="5">
        <v>783737</v>
      </c>
      <c r="D25">
        <f>C25/(Sheet1!$C$64-Sheet1!$C$63)</f>
        <v>6.8018094718861694E-2</v>
      </c>
      <c r="E25">
        <f t="shared" si="0"/>
        <v>6.8018094718861697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A343-1FD4-4C60-B4C3-078673665D75}">
  <dimension ref="A1:F25"/>
  <sheetViews>
    <sheetView tabSelected="1" workbookViewId="0">
      <selection activeCell="F2" sqref="F2:F25"/>
    </sheetView>
  </sheetViews>
  <sheetFormatPr defaultRowHeight="14.4" x14ac:dyDescent="0.3"/>
  <cols>
    <col min="2" max="2" width="30.33203125" customWidth="1"/>
    <col min="3" max="3" width="20.33203125" customWidth="1"/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2011</v>
      </c>
      <c r="B2" s="1" t="s">
        <v>5</v>
      </c>
      <c r="C2" s="13">
        <v>8.9759378425334244</v>
      </c>
      <c r="F2">
        <v>9.1896230217701973</v>
      </c>
    </row>
    <row r="3" spans="1:6" x14ac:dyDescent="0.3">
      <c r="A3">
        <v>2011</v>
      </c>
      <c r="B3" s="1" t="s">
        <v>7</v>
      </c>
      <c r="C3" s="13">
        <v>8.2410341682138935</v>
      </c>
      <c r="F3">
        <v>8.4372239028382285</v>
      </c>
    </row>
    <row r="4" spans="1:6" x14ac:dyDescent="0.3">
      <c r="A4">
        <v>2011</v>
      </c>
      <c r="B4" s="1" t="s">
        <v>9</v>
      </c>
      <c r="C4" s="13">
        <v>10.511789984912994</v>
      </c>
      <c r="F4">
        <v>10.762038345188122</v>
      </c>
    </row>
    <row r="5" spans="1:6" x14ac:dyDescent="0.3">
      <c r="A5">
        <v>2011</v>
      </c>
      <c r="B5" s="1" t="s">
        <v>11</v>
      </c>
      <c r="C5" s="13">
        <v>4.7640238310056588</v>
      </c>
      <c r="F5">
        <v>4.8774383069162219</v>
      </c>
    </row>
    <row r="6" spans="1:6" x14ac:dyDescent="0.3">
      <c r="A6">
        <v>2011</v>
      </c>
      <c r="B6" s="1" t="s">
        <v>15</v>
      </c>
      <c r="C6" s="13">
        <v>7.258286046633013</v>
      </c>
      <c r="F6">
        <v>7.4310800412033666</v>
      </c>
    </row>
    <row r="7" spans="1:6" x14ac:dyDescent="0.3">
      <c r="A7">
        <v>2011</v>
      </c>
      <c r="B7" s="1" t="s">
        <v>18</v>
      </c>
      <c r="C7" s="13">
        <v>7.9975343807244244</v>
      </c>
      <c r="F7">
        <v>8.1879272508153136</v>
      </c>
    </row>
    <row r="8" spans="1:6" x14ac:dyDescent="0.3">
      <c r="A8">
        <v>2011</v>
      </c>
      <c r="B8" s="1" t="s">
        <v>19</v>
      </c>
      <c r="C8" s="13">
        <v>11.608632650068476</v>
      </c>
      <c r="F8">
        <v>11.884992935984137</v>
      </c>
    </row>
    <row r="9" spans="1:6" x14ac:dyDescent="0.3">
      <c r="A9">
        <v>2011</v>
      </c>
      <c r="B9" s="1" t="s">
        <v>10</v>
      </c>
      <c r="C9" s="13">
        <v>6.4662555644205169</v>
      </c>
      <c r="F9">
        <v>6.6201941281131553</v>
      </c>
    </row>
    <row r="10" spans="1:6" x14ac:dyDescent="0.3">
      <c r="A10">
        <v>2016</v>
      </c>
      <c r="B10" s="1" t="s">
        <v>5</v>
      </c>
      <c r="C10" s="13">
        <v>6.399270973868763</v>
      </c>
      <c r="F10">
        <v>6.6971119434513646</v>
      </c>
    </row>
    <row r="11" spans="1:6" x14ac:dyDescent="0.3">
      <c r="A11">
        <v>2016</v>
      </c>
      <c r="B11" s="1" t="s">
        <v>7</v>
      </c>
      <c r="C11" s="13">
        <v>8.5274192561065583</v>
      </c>
      <c r="F11">
        <v>8.9243105316358129</v>
      </c>
    </row>
    <row r="12" spans="1:6" x14ac:dyDescent="0.3">
      <c r="A12">
        <v>2016</v>
      </c>
      <c r="B12" s="1" t="s">
        <v>9</v>
      </c>
      <c r="C12" s="13">
        <v>9.8636426858427892</v>
      </c>
      <c r="F12">
        <v>10.322725745954504</v>
      </c>
    </row>
    <row r="13" spans="1:6" x14ac:dyDescent="0.3">
      <c r="A13">
        <v>2016</v>
      </c>
      <c r="B13" s="1" t="s">
        <v>11</v>
      </c>
      <c r="C13" s="13">
        <v>4.6752001761164195</v>
      </c>
      <c r="F13">
        <v>4.8927977992102623</v>
      </c>
    </row>
    <row r="14" spans="1:6" x14ac:dyDescent="0.3">
      <c r="A14">
        <v>2016</v>
      </c>
      <c r="B14" s="1" t="s">
        <v>15</v>
      </c>
      <c r="C14" s="13">
        <v>7.2630987991024201</v>
      </c>
      <c r="F14">
        <v>7.601144866745507</v>
      </c>
    </row>
    <row r="15" spans="1:6" x14ac:dyDescent="0.3">
      <c r="A15">
        <v>2016</v>
      </c>
      <c r="B15" s="1" t="s">
        <v>18</v>
      </c>
      <c r="C15" s="13">
        <v>8.6663112389718986</v>
      </c>
      <c r="F15">
        <v>9.0696669575623687</v>
      </c>
    </row>
    <row r="16" spans="1:6" x14ac:dyDescent="0.3">
      <c r="A16">
        <v>2016</v>
      </c>
      <c r="B16" s="1" t="s">
        <v>19</v>
      </c>
      <c r="C16" s="13">
        <v>12.645404153299907</v>
      </c>
      <c r="F16">
        <v>13.233958607262297</v>
      </c>
    </row>
    <row r="17" spans="1:6" x14ac:dyDescent="0.3">
      <c r="A17">
        <v>2016</v>
      </c>
      <c r="B17" s="1" t="s">
        <v>10</v>
      </c>
      <c r="C17" s="13">
        <v>6.9097895682096384</v>
      </c>
      <c r="F17">
        <v>7.2313915808468838</v>
      </c>
    </row>
    <row r="18" spans="1:6" x14ac:dyDescent="0.3">
      <c r="A18">
        <v>2021</v>
      </c>
      <c r="B18" s="1" t="s">
        <v>5</v>
      </c>
      <c r="C18" s="13">
        <v>5.9319004001025775</v>
      </c>
      <c r="F18">
        <v>6.2031708804304069</v>
      </c>
    </row>
    <row r="19" spans="1:6" x14ac:dyDescent="0.3">
      <c r="A19">
        <v>2021</v>
      </c>
      <c r="B19" s="1" t="s">
        <v>7</v>
      </c>
      <c r="C19" s="13">
        <v>8.8605583177931528</v>
      </c>
      <c r="F19">
        <v>9.2657586328218642</v>
      </c>
    </row>
    <row r="20" spans="1:6" x14ac:dyDescent="0.3">
      <c r="A20">
        <v>2021</v>
      </c>
      <c r="B20" s="1" t="s">
        <v>9</v>
      </c>
      <c r="C20" s="13">
        <v>9.1258991104128739</v>
      </c>
      <c r="F20">
        <v>9.5432336690076554</v>
      </c>
    </row>
    <row r="21" spans="1:6" x14ac:dyDescent="0.3">
      <c r="A21">
        <v>2021</v>
      </c>
      <c r="B21" s="1" t="s">
        <v>11</v>
      </c>
      <c r="C21" s="13">
        <v>4.534363093296685</v>
      </c>
      <c r="F21">
        <v>4.7417230911614672</v>
      </c>
    </row>
    <row r="22" spans="1:6" x14ac:dyDescent="0.3">
      <c r="A22">
        <v>2021</v>
      </c>
      <c r="B22" s="1" t="s">
        <v>15</v>
      </c>
      <c r="C22" s="13">
        <v>7.8434877724303522</v>
      </c>
      <c r="F22">
        <v>8.202176649849104</v>
      </c>
    </row>
    <row r="23" spans="1:6" x14ac:dyDescent="0.3">
      <c r="A23">
        <v>2021</v>
      </c>
      <c r="B23" s="1" t="s">
        <v>18</v>
      </c>
      <c r="C23" s="13">
        <v>8.8080661210797864</v>
      </c>
      <c r="F23">
        <v>9.210865926582807</v>
      </c>
    </row>
    <row r="24" spans="1:6" x14ac:dyDescent="0.3">
      <c r="A24">
        <v>2021</v>
      </c>
      <c r="B24" s="1" t="s">
        <v>19</v>
      </c>
      <c r="C24" s="13">
        <v>14.537782347849395</v>
      </c>
      <c r="F24">
        <v>15.202606592088957</v>
      </c>
    </row>
    <row r="25" spans="1:6" x14ac:dyDescent="0.3">
      <c r="A25">
        <v>2021</v>
      </c>
      <c r="B25" s="1" t="s">
        <v>10</v>
      </c>
      <c r="C25" s="13">
        <v>6.5043599645127852</v>
      </c>
      <c r="F25">
        <v>6.8018094718861697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2026-10-09T06:31:14Z</dcterms:modified>
</cp:coreProperties>
</file>