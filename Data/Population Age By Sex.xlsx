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bbas\Desktop\Subject\2026 Sem 2\FIT3179\Assignment 2\Data\"/>
    </mc:Choice>
  </mc:AlternateContent>
  <xr:revisionPtr revIDLastSave="0" documentId="13_ncr:1_{06AB2017-162D-44FE-BF1D-2F6471B93AA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Sheet2" sheetId="2" r:id="rId2"/>
  </sheets>
  <externalReferences>
    <externalReference r:id="rId3"/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6" i="1" l="1" a="1"/>
  <c r="D124" i="1" a="1"/>
  <c r="D122" i="1" a="1"/>
  <c r="D120" i="1" a="1"/>
  <c r="D118" i="1" a="1"/>
  <c r="D116" i="1" a="1"/>
  <c r="D114" i="1" a="1"/>
  <c r="D112" i="1" a="1"/>
  <c r="D110" i="1" a="1"/>
  <c r="D108" i="1" a="1"/>
  <c r="D106" i="1" a="1"/>
  <c r="D104" i="1" a="1"/>
  <c r="D102" i="1" a="1"/>
  <c r="D100" i="1" a="1"/>
  <c r="D98" i="1" a="1"/>
  <c r="D96" i="1" a="1"/>
  <c r="D94" i="1" a="1"/>
  <c r="D92" i="1" a="1"/>
  <c r="D90" i="1" a="1"/>
  <c r="D88" i="1" a="1"/>
  <c r="D86" i="1" a="1"/>
  <c r="D84" i="1" a="1"/>
  <c r="E85" i="1" s="1"/>
  <c r="D82" i="1" a="1"/>
  <c r="E83" i="1" s="1"/>
  <c r="D80" i="1" a="1"/>
  <c r="E81" i="1" s="1"/>
  <c r="D78" i="1" a="1"/>
  <c r="E79" i="1" s="1"/>
  <c r="D76" i="1" a="1"/>
  <c r="E77" i="1" s="1"/>
  <c r="D74" i="1" a="1"/>
  <c r="E75" i="1" s="1"/>
  <c r="D72" i="1" a="1"/>
  <c r="E73" i="1" s="1"/>
  <c r="D70" i="1" a="1"/>
  <c r="E71" i="1" s="1"/>
  <c r="D68" i="1" a="1"/>
  <c r="E69" i="1" s="1"/>
  <c r="D66" i="1" a="1"/>
  <c r="E67" i="1" s="1"/>
  <c r="D64" i="1" a="1"/>
  <c r="E65" i="1" s="1"/>
  <c r="D62" i="1" a="1"/>
  <c r="E63" i="1" s="1"/>
  <c r="D60" i="1" a="1"/>
  <c r="E61" i="1" s="1"/>
  <c r="D58" i="1" a="1"/>
  <c r="E59" i="1" s="1"/>
  <c r="D56" i="1" a="1"/>
  <c r="E57" i="1" s="1"/>
  <c r="D54" i="1" a="1"/>
  <c r="E55" i="1" s="1"/>
  <c r="D52" i="1" a="1"/>
  <c r="E53" i="1" s="1"/>
  <c r="D50" i="1" a="1"/>
  <c r="E51" i="1" s="1"/>
  <c r="D48" i="1" a="1"/>
  <c r="D42" i="1" a="1"/>
  <c r="D40" i="1" a="1"/>
  <c r="D38" i="1" a="1"/>
  <c r="D36" i="1" a="1"/>
  <c r="D34" i="1" a="1"/>
  <c r="D32" i="1" a="1"/>
  <c r="D30" i="1" a="1"/>
  <c r="D28" i="1" a="1"/>
  <c r="D26" i="1" a="1"/>
  <c r="D24" i="1" a="1"/>
  <c r="D22" i="1" a="1"/>
  <c r="D20" i="1" a="1"/>
  <c r="D18" i="1" a="1"/>
  <c r="E19" i="1" s="1"/>
  <c r="D16" i="1" a="1"/>
  <c r="D14" i="1" a="1"/>
  <c r="D12" i="1" a="1"/>
  <c r="D10" i="1" a="1"/>
  <c r="E11" i="1" s="1"/>
  <c r="D8" i="1" a="1"/>
  <c r="E9" i="1" s="1"/>
  <c r="D6" i="1" a="1"/>
  <c r="D4" i="1" a="1"/>
  <c r="D2" i="1" a="1"/>
  <c r="D46" i="1" a="1"/>
  <c r="D44" i="1" a="1"/>
  <c r="E7" i="1"/>
  <c r="E13" i="1"/>
  <c r="E15" i="1"/>
  <c r="E17" i="1"/>
  <c r="E21" i="1"/>
  <c r="E23" i="1"/>
  <c r="E25" i="1"/>
  <c r="E27" i="1"/>
  <c r="E29" i="1"/>
  <c r="E31" i="1"/>
  <c r="E33" i="1"/>
  <c r="E35" i="1"/>
  <c r="E37" i="1"/>
  <c r="E39" i="1"/>
  <c r="E41" i="1"/>
  <c r="E43" i="1"/>
  <c r="E48" i="1" l="1"/>
  <c r="E49" i="1"/>
  <c r="E126" i="1"/>
  <c r="E127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6" i="1"/>
  <c r="E107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6" i="1"/>
  <c r="E87" i="1"/>
  <c r="E62" i="1"/>
  <c r="E58" i="1"/>
  <c r="E54" i="1"/>
  <c r="E50" i="1"/>
  <c r="E42" i="1"/>
  <c r="E34" i="1"/>
  <c r="E30" i="1"/>
  <c r="E26" i="1"/>
  <c r="E22" i="1"/>
  <c r="E16" i="1"/>
  <c r="E10" i="1"/>
  <c r="E84" i="1"/>
  <c r="E78" i="1"/>
  <c r="E72" i="1"/>
  <c r="E66" i="1"/>
  <c r="E38" i="1"/>
  <c r="E20" i="1"/>
  <c r="E12" i="1"/>
  <c r="E6" i="1"/>
  <c r="E82" i="1"/>
  <c r="E76" i="1"/>
  <c r="E70" i="1"/>
  <c r="E64" i="1"/>
  <c r="E60" i="1"/>
  <c r="E56" i="1"/>
  <c r="E52" i="1"/>
  <c r="E40" i="1"/>
  <c r="E36" i="1"/>
  <c r="E32" i="1"/>
  <c r="E28" i="1"/>
  <c r="E24" i="1"/>
  <c r="E18" i="1"/>
  <c r="E14" i="1"/>
  <c r="E8" i="1"/>
  <c r="E80" i="1"/>
  <c r="E74" i="1"/>
  <c r="E68" i="1"/>
  <c r="E46" i="1"/>
  <c r="E47" i="1"/>
  <c r="E44" i="1"/>
  <c r="E45" i="1"/>
  <c r="E4" i="1"/>
  <c r="E5" i="1"/>
  <c r="E2" i="1"/>
  <c r="E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<sst xmlns="http://schemas.openxmlformats.org/spreadsheetml/2006/main" count="512" uniqueCount="27">
  <si>
    <t>Sex</t>
  </si>
  <si>
    <t>0-4</t>
  </si>
  <si>
    <t>5-9</t>
  </si>
  <si>
    <t>10-14</t>
  </si>
  <si>
    <t>100+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</si>
  <si>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</si>
  <si>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</si>
  <si>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</si>
  <si>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</si>
  <si>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</si>
  <si>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</si>
  <si>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</si>
  <si>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</si>
  <si>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</si>
  <si>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</si>
  <si>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</si>
  <si>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</si>
  <si>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</si>
  <si>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</si>
  <si>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</si>
  <si>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</si>
  <si>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</si>
  <si>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Year</t>
  </si>
  <si>
    <t>Age Group</t>
  </si>
  <si>
    <t>Population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</si>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</sst>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_-&quot;$&quot;* #,##0.00_-;\-&quot;$&quot;* #,##0.00_-;_-&quot;$&quot;* &quot;-&quot;??_-;_-@_-"/>
    <numFmt numFmtId="168" formatCode="_-* #,##0.00_-;\-* #,##0.00_-;_-* &quot;-&quot;??_-;_-@_-"/>
  </numFmts>
  <fonts count="3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8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name val="Calibri "/>
    </font>
    <font>
      <sz val="10"/>
      <name val="Arial"/>
      <family val="2"/>
    </font>
    <font>
      <sz val="11"/>
      <color indexed="8"/>
      <name val="Calibri"/>
      <family val="2"/>
    </font>
    <font>
      <sz val="12"/>
      <name val="Arial"/>
      <family val="2"/>
    </font>
    <font>
      <u/>
      <sz val="12"/>
      <color indexed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u/>
      <sz val="10.45"/>
      <color indexed="12"/>
      <name val="Arial"/>
      <family val="2"/>
    </font>
    <font>
      <sz val="10"/>
      <name val="Tahoma"/>
      <family val="2"/>
    </font>
    <font>
      <u/>
      <sz val="11"/>
      <color theme="10"/>
      <name val="Arial"/>
      <family val="2"/>
    </font>
    <font>
      <sz val="11"/>
      <color rgb="FF9C6500"/>
      <name val="Calibri"/>
      <family val="2"/>
      <scheme val="minor"/>
    </font>
    <font>
      <sz val="11"/>
      <color theme="1"/>
      <name val="Arial"/>
      <family val="2"/>
    </font>
    <font>
      <b/>
      <sz val="18"/>
      <color theme="3"/>
      <name val="Cambri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9">
    <xf numFmtId="0" fontId="0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7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7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7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7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7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0" borderId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4" borderId="0" applyNumberFormat="0" applyBorder="0" applyAlignment="0" applyProtection="0"/>
    <xf numFmtId="0" fontId="19" fillId="0" borderId="0"/>
    <xf numFmtId="0" fontId="19" fillId="0" borderId="0"/>
    <xf numFmtId="0" fontId="26" fillId="0" borderId="0"/>
    <xf numFmtId="0" fontId="3" fillId="0" borderId="0"/>
    <xf numFmtId="0" fontId="19" fillId="0" borderId="0"/>
    <xf numFmtId="0" fontId="21" fillId="0" borderId="0"/>
    <xf numFmtId="0" fontId="19" fillId="0" borderId="0"/>
    <xf numFmtId="0" fontId="21" fillId="0" borderId="0"/>
    <xf numFmtId="0" fontId="21" fillId="0" borderId="0"/>
    <xf numFmtId="0" fontId="19" fillId="0" borderId="0"/>
    <xf numFmtId="0" fontId="29" fillId="0" borderId="0"/>
    <xf numFmtId="0" fontId="19" fillId="0" borderId="0"/>
    <xf numFmtId="0" fontId="29" fillId="0" borderId="0"/>
    <xf numFmtId="0" fontId="29" fillId="0" borderId="0"/>
    <xf numFmtId="0" fontId="19" fillId="0" borderId="0"/>
    <xf numFmtId="0" fontId="21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9" fillId="0" borderId="0"/>
    <xf numFmtId="0" fontId="19" fillId="0" borderId="0"/>
    <xf numFmtId="0" fontId="19" fillId="0" borderId="0"/>
    <xf numFmtId="0" fontId="19" fillId="0" borderId="0"/>
    <xf numFmtId="0" fontId="21" fillId="0" borderId="0"/>
    <xf numFmtId="0" fontId="3" fillId="0" borderId="0"/>
    <xf numFmtId="0" fontId="21" fillId="0" borderId="0"/>
    <xf numFmtId="0" fontId="21" fillId="0" borderId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4" fillId="0" borderId="0">
      <alignment horizontal="left"/>
    </xf>
    <xf numFmtId="0" fontId="23" fillId="0" borderId="0">
      <alignment horizontal="left"/>
    </xf>
    <xf numFmtId="0" fontId="23" fillId="0" borderId="0">
      <alignment horizontal="center" vertical="center" wrapText="1"/>
    </xf>
    <xf numFmtId="0" fontId="23" fillId="0" borderId="0">
      <alignment horizontal="left" vertical="center" wrapText="1"/>
    </xf>
    <xf numFmtId="0" fontId="23" fillId="0" borderId="0">
      <alignment horizontal="left" vertical="center" wrapText="1"/>
    </xf>
    <xf numFmtId="0" fontId="23" fillId="0" borderId="0">
      <alignment horizontal="right"/>
    </xf>
    <xf numFmtId="0" fontId="30" fillId="0" borderId="0" applyNumberFormat="0" applyFill="0" applyBorder="0" applyAlignment="0" applyProtection="0"/>
  </cellStyleXfs>
  <cellXfs count="7">
    <xf numFmtId="0" fontId="0" fillId="0" borderId="0" xfId="0"/>
    <xf numFmtId="2" fontId="0" fillId="0" borderId="0" xfId="0" quotePrefix="1" applyNumberFormat="1"/>
    <xf numFmtId="3" fontId="2" fillId="0" borderId="0" xfId="0" applyNumberFormat="1" applyFont="1" applyAlignment="1">
      <alignment horizontal="right"/>
    </xf>
    <xf numFmtId="0" fontId="0" fillId="0" borderId="0" xfId="0" quotePrefix="1"/>
    <xf numFmtId="17" fontId="0" fillId="0" borderId="0" xfId="0" quotePrefix="1" applyNumberFormat="1"/>
    <xf numFmtId="3" fontId="0" fillId="0" borderId="0" xfId="0" applyNumberFormat="1"/>
    <xf numFmtId="3" fontId="18" fillId="0" borderId="0" xfId="0" applyNumberFormat="1" applyFont="1" applyAlignment="1">
      <alignment horizontal="right"/>
    </xf>
  </cellXfs>
  <cellStyles count="89">
    <cellStyle name="20% - Accent1" xfId="16" builtinId="30" customBuiltin="1"/>
    <cellStyle name="20% - Accent2" xfId="19" builtinId="34" customBuiltin="1"/>
    <cellStyle name="20% - Accent3" xfId="22" builtinId="38" customBuiltin="1"/>
    <cellStyle name="20% - Accent4" xfId="25" builtinId="42" customBuiltin="1"/>
    <cellStyle name="20% - Accent5" xfId="28" builtinId="46" customBuiltin="1"/>
    <cellStyle name="20% - Accent6" xfId="31" builtinId="50" customBuiltin="1"/>
    <cellStyle name="40% - Accent1" xfId="17" builtinId="31" customBuiltin="1"/>
    <cellStyle name="40% - Accent2" xfId="20" builtinId="35" customBuiltin="1"/>
    <cellStyle name="40% - Accent3" xfId="23" builtinId="39" customBuiltin="1"/>
    <cellStyle name="40% - Accent4" xfId="26" builtinId="43" customBuiltin="1"/>
    <cellStyle name="40% - Accent5" xfId="29" builtinId="47" customBuiltin="1"/>
    <cellStyle name="40% - Accent6" xfId="32" builtinId="51" customBuiltin="1"/>
    <cellStyle name="60% - Accent1 2" xfId="34" xr:uid="{EA96DB51-C077-4349-8804-71A1636BD353}"/>
    <cellStyle name="60% - Accent2 2" xfId="35" xr:uid="{6EBE3929-8C37-4AEB-B77F-D8AFCA15C6B2}"/>
    <cellStyle name="60% - Accent3 2" xfId="36" xr:uid="{A821DBF6-CBFC-4708-ACA8-4FB76837576F}"/>
    <cellStyle name="60% - Accent4 2" xfId="37" xr:uid="{B7C4FC78-95FB-4D05-9540-0D769D37DB85}"/>
    <cellStyle name="60% - Accent5 2" xfId="38" xr:uid="{B4A77869-298C-4364-8496-BFD627605046}"/>
    <cellStyle name="60% - Accent6 2" xfId="39" xr:uid="{4BF7003B-1FE2-45BA-A602-3FD7CDED7A91}"/>
    <cellStyle name="Accent1" xfId="15" builtinId="29" customBuiltin="1"/>
    <cellStyle name="Accent2" xfId="18" builtinId="33" customBuiltin="1"/>
    <cellStyle name="Accent3" xfId="21" builtinId="37" customBuiltin="1"/>
    <cellStyle name="Accent4" xfId="24" builtinId="41" customBuiltin="1"/>
    <cellStyle name="Accent5" xfId="27" builtinId="45" customBuiltin="1"/>
    <cellStyle name="Accent6" xfId="30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Comma 2" xfId="41" xr:uid="{8819B03C-CFA1-49B9-A946-C9646EBE19D1}"/>
    <cellStyle name="Comma 3" xfId="42" xr:uid="{193B3462-6898-4D27-BFBA-13CDB0C1F7C8}"/>
    <cellStyle name="Comma 4" xfId="43" xr:uid="{FA619D61-FA0D-4B3A-B885-833234D5622A}"/>
    <cellStyle name="Comma 5" xfId="40" xr:uid="{830733D9-86AF-4861-B728-EFED7589519B}"/>
    <cellStyle name="Currency 2" xfId="44" xr:uid="{F8092CAA-0996-4655-9E96-8FC777780EB6}"/>
    <cellStyle name="Explanatory Text" xfId="13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Hyperlink 2" xfId="45" xr:uid="{408B4EC2-5556-4497-A181-D1709E530817}"/>
    <cellStyle name="Hyperlink 3" xfId="46" xr:uid="{ABFFDA19-026F-4AC1-B5C9-9F4E904D1E19}"/>
    <cellStyle name="Hyperlink 4" xfId="47" xr:uid="{CE73AA39-6342-4210-8418-9C4B3E7C2BDC}"/>
    <cellStyle name="Hyperlink 5" xfId="48" xr:uid="{558F87DA-D5EC-45D2-A8AC-A7081D521197}"/>
    <cellStyle name="Input" xfId="7" builtinId="20" customBuiltin="1"/>
    <cellStyle name="Linked Cell" xfId="10" builtinId="24" customBuiltin="1"/>
    <cellStyle name="Neutral 2" xfId="49" xr:uid="{2E53DCA4-EDB7-4ABC-8CEC-75D29EF78490}"/>
    <cellStyle name="Normal" xfId="0" builtinId="0"/>
    <cellStyle name="Normal 10" xfId="50" xr:uid="{D8540AA9-EC89-476D-AEE8-F43D5BB0100E}"/>
    <cellStyle name="Normal 10 2" xfId="51" xr:uid="{636C237F-D9A2-443D-94D8-E448551D9FF2}"/>
    <cellStyle name="Normal 11" xfId="52" xr:uid="{02A4CE75-FB13-4575-8069-1800AF39053F}"/>
    <cellStyle name="Normal 11 2" xfId="53" xr:uid="{AE4D03DC-94FE-47F4-966F-24B0B2902310}"/>
    <cellStyle name="Normal 12" xfId="33" xr:uid="{0B261918-3591-43D8-BEA5-1EFA685EE971}"/>
    <cellStyle name="Normal 2" xfId="54" xr:uid="{FE352BB8-C4B6-445F-BEBB-F8A345784616}"/>
    <cellStyle name="Normal 2 2" xfId="55" xr:uid="{B9019AA2-6393-4A0B-9E32-40007E9313B9}"/>
    <cellStyle name="Normal 2 2 2" xfId="56" xr:uid="{E42A7734-C1A1-43EF-9A48-683FB1888F55}"/>
    <cellStyle name="Normal 2 2 3" xfId="57" xr:uid="{C39DB50E-365C-44B2-A5C9-F7AC4D93CF1F}"/>
    <cellStyle name="Normal 2 2 4" xfId="58" xr:uid="{3B6F210A-12F1-4E7D-9A18-85968BAE587A}"/>
    <cellStyle name="Normal 2 3" xfId="59" xr:uid="{93D5709D-8834-4AE0-A3CA-1BAD0F454E53}"/>
    <cellStyle name="Normal 2 4" xfId="60" xr:uid="{13443563-A983-4F66-90DF-69426A4F481D}"/>
    <cellStyle name="Normal 2 4 2" xfId="61" xr:uid="{17C39192-F10B-42C4-83B4-1F906E551AAB}"/>
    <cellStyle name="Normal 2 5" xfId="62" xr:uid="{FAEB9BED-D1C3-4F71-AB02-D015F8283CA1}"/>
    <cellStyle name="Normal 2 6" xfId="63" xr:uid="{EAA03245-972E-456C-A9B9-3D11BCC75AE3}"/>
    <cellStyle name="Normal 3" xfId="64" xr:uid="{38C2CD68-5354-4F29-934C-E5E680B36F15}"/>
    <cellStyle name="Normal 3 2" xfId="65" xr:uid="{E6D82D73-E2FE-4B8C-A80F-FCD9FC33B412}"/>
    <cellStyle name="Normal 3 3" xfId="66" xr:uid="{62A9A899-707B-4B3A-B65F-3EB72722A488}"/>
    <cellStyle name="Normal 4" xfId="67" xr:uid="{A01A77BC-FB0C-4088-A295-9BEFA445202C}"/>
    <cellStyle name="Normal 4 2" xfId="68" xr:uid="{596D1431-795E-430C-A5A5-8EA74B1DE813}"/>
    <cellStyle name="Normal 5" xfId="69" xr:uid="{3E8B8958-18B2-419B-8847-A4CBB98410B9}"/>
    <cellStyle name="Normal 5 2" xfId="70" xr:uid="{4D69DF7E-D4FA-4A1D-A29B-3F501106F220}"/>
    <cellStyle name="Normal 6" xfId="71" xr:uid="{D4AA1088-35CA-4C68-BF21-B5491AE1B05A}"/>
    <cellStyle name="Normal 7" xfId="72" xr:uid="{031E59A7-14BE-4F1B-9837-C559B4430CB6}"/>
    <cellStyle name="Normal 7 2" xfId="73" xr:uid="{BC035F41-F1E7-4B7B-8C3F-85F2A8ACAAB1}"/>
    <cellStyle name="Normal 7 3" xfId="74" xr:uid="{ED721277-E8C8-4204-8182-59ED8DD0AD16}"/>
    <cellStyle name="Normal 7 4" xfId="75" xr:uid="{EED3C937-191C-455B-A668-31319E97676D}"/>
    <cellStyle name="Normal 8" xfId="76" xr:uid="{F698BFB5-FFBC-429A-9DA3-E5FB8CC94C07}"/>
    <cellStyle name="Normal 9" xfId="77" xr:uid="{E5C9AC60-3D0F-47D2-AA71-96D0C037BC64}"/>
    <cellStyle name="Normal 9 2" xfId="78" xr:uid="{28FE882B-8A7E-4E60-907E-8DEA080C5234}"/>
    <cellStyle name="Note 2" xfId="79" xr:uid="{4888131E-B31C-44F4-8B83-54BDB60F3ABE}"/>
    <cellStyle name="Note 2 2" xfId="80" xr:uid="{1C62B574-15B9-4552-99DC-6A75616DD3FF}"/>
    <cellStyle name="Note 2 3" xfId="81" xr:uid="{5B74DE02-56AC-4C68-AD1D-777BFB1534FB}"/>
    <cellStyle name="Output" xfId="8" builtinId="21" customBuiltin="1"/>
    <cellStyle name="Style1" xfId="82" xr:uid="{9F0B15A0-EE24-4A47-AC20-2E12CB9E8D2A}"/>
    <cellStyle name="Style2" xfId="83" xr:uid="{328BAF03-362E-431C-8CB3-C28EA4C965D7}"/>
    <cellStyle name="Style3" xfId="84" xr:uid="{278BA64C-6D7A-4A68-9C27-538224BBB983}"/>
    <cellStyle name="Style4" xfId="85" xr:uid="{A72F50D5-ACF9-47AD-A2D4-66C63AEA3275}"/>
    <cellStyle name="Style4 2" xfId="86" xr:uid="{AF7DA895-A780-456F-A201-D573DA2D2CAE}"/>
    <cellStyle name="Style5" xfId="87" xr:uid="{FB02D3A9-B11F-48DC-AAF1-848DB854CA7B}"/>
    <cellStyle name="Title 2" xfId="88" xr:uid="{13900CD4-BF57-47A7-86B6-30E54A5E0275}"/>
    <cellStyle name="Total" xfId="14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bas\Desktop\Subject\2026%20Sem%202\FIT3179\Assignment%202\Data\Confirmed%20Data\Age%20&amp;%20Population\BCP_0%202011.xlsx" TargetMode="External"/><Relationship Id="rId1" Type="http://schemas.openxmlformats.org/officeDocument/2006/relationships/externalLinkPath" Target="Confirmed%20Data/Age%20&amp;%20Population/BCP_0%202011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bas\Desktop\Subject\2026%20Sem%202\FIT3179\Assignment%202\Data\Confirmed%20Data\Age%20&amp;%20Population\GCP_0%202016.xlsx" TargetMode="External"/><Relationship Id="rId1" Type="http://schemas.openxmlformats.org/officeDocument/2006/relationships/externalLinkPath" Target="Confirmed%20Data/Age%20&amp;%20Population/GCP_0%20201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bbas\Desktop\Subject\2026%20Sem%202\FIT3179\Assignment%202\Data\Confirmed%20Data\Age%20&amp;%20Population\GCP_AUS%202021.xlsx" TargetMode="External"/><Relationship Id="rId1" Type="http://schemas.openxmlformats.org/officeDocument/2006/relationships/externalLinkPath" Target="Confirmed%20Data/Age%20&amp;%20Population/GCP_AUS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Contents"/>
      <sheetName val="List of Tables "/>
      <sheetName val="List of Topics (1)"/>
      <sheetName val="List of Topics (2)"/>
      <sheetName val="List of Topics (3)"/>
      <sheetName val="B 01a"/>
      <sheetName val="B 01b"/>
      <sheetName val="B 02"/>
      <sheetName val="B 03"/>
      <sheetName val="B 04"/>
      <sheetName val="B 05"/>
      <sheetName val="B 06"/>
      <sheetName val="B 07"/>
      <sheetName val="B 08"/>
      <sheetName val="B 09"/>
      <sheetName val="B 10a"/>
      <sheetName val="B 10b"/>
      <sheetName val="B 11"/>
      <sheetName val="B 12a"/>
      <sheetName val="B 12b"/>
      <sheetName val="B 12c"/>
      <sheetName val="B 13a"/>
      <sheetName val="B 13b"/>
      <sheetName val="B 14"/>
      <sheetName val="B 15"/>
      <sheetName val="B 16"/>
      <sheetName val="B 17a"/>
      <sheetName val="B 17b"/>
      <sheetName val="B 18"/>
      <sheetName val="B 19"/>
      <sheetName val="B 20"/>
      <sheetName val="B 21"/>
      <sheetName val="B 22"/>
      <sheetName val="B 23a"/>
      <sheetName val="B 23b"/>
      <sheetName val="B 24"/>
      <sheetName val="B 25"/>
      <sheetName val="B 26"/>
      <sheetName val="B 27"/>
      <sheetName val="B 28"/>
      <sheetName val="B 29"/>
      <sheetName val="B 30"/>
      <sheetName val="B 31"/>
      <sheetName val="B 32"/>
      <sheetName val="B 33"/>
      <sheetName val="B 34"/>
      <sheetName val="B 35"/>
      <sheetName val="B 36"/>
      <sheetName val="B 37"/>
      <sheetName val="B 38"/>
      <sheetName val="B 39"/>
      <sheetName val="B 40a"/>
      <sheetName val="B 40b"/>
      <sheetName val="B 41a"/>
      <sheetName val="B 41b"/>
      <sheetName val="B 42a"/>
      <sheetName val="B 42b"/>
      <sheetName val="B 43a"/>
      <sheetName val="B 43b"/>
      <sheetName val="B 43c"/>
      <sheetName val="B 44"/>
      <sheetName val="B 45"/>
      <sheetName val="B 4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6">
          <cell r="B16">
            <v>729968</v>
          </cell>
          <cell r="C16">
            <v>691080</v>
          </cell>
          <cell r="G16">
            <v>719654</v>
          </cell>
          <cell r="H16">
            <v>734121</v>
          </cell>
          <cell r="L16">
            <v>597885</v>
          </cell>
          <cell r="M16">
            <v>608231</v>
          </cell>
        </row>
        <row r="22">
          <cell r="B22">
            <v>694561</v>
          </cell>
          <cell r="C22">
            <v>657360</v>
          </cell>
          <cell r="G22">
            <v>747117</v>
          </cell>
          <cell r="H22">
            <v>773021</v>
          </cell>
          <cell r="L22">
            <v>455418</v>
          </cell>
          <cell r="M22">
            <v>463901</v>
          </cell>
        </row>
        <row r="28">
          <cell r="B28">
            <v>703307</v>
          </cell>
          <cell r="C28">
            <v>667748</v>
          </cell>
          <cell r="G28">
            <v>754571</v>
          </cell>
          <cell r="H28">
            <v>788308</v>
          </cell>
          <cell r="L28">
            <v>342690</v>
          </cell>
          <cell r="M28">
            <v>365398</v>
          </cell>
        </row>
        <row r="34">
          <cell r="B34">
            <v>722379</v>
          </cell>
          <cell r="C34">
            <v>683419</v>
          </cell>
          <cell r="G34">
            <v>740963</v>
          </cell>
          <cell r="H34">
            <v>763179</v>
          </cell>
          <cell r="L34">
            <v>252928</v>
          </cell>
          <cell r="M34">
            <v>292333</v>
          </cell>
        </row>
        <row r="35">
          <cell r="L35">
            <v>188241</v>
          </cell>
          <cell r="M35">
            <v>248695</v>
          </cell>
        </row>
        <row r="36">
          <cell r="L36">
            <v>100804</v>
          </cell>
          <cell r="M36">
            <v>169994</v>
          </cell>
        </row>
        <row r="37">
          <cell r="L37">
            <v>31793</v>
          </cell>
          <cell r="M37">
            <v>71981</v>
          </cell>
        </row>
        <row r="38">
          <cell r="L38">
            <v>5910</v>
          </cell>
          <cell r="M38">
            <v>18925</v>
          </cell>
        </row>
        <row r="39">
          <cell r="L39">
            <v>657</v>
          </cell>
          <cell r="M39">
            <v>2619</v>
          </cell>
        </row>
        <row r="40">
          <cell r="B40">
            <v>741122</v>
          </cell>
          <cell r="C40">
            <v>719555</v>
          </cell>
          <cell r="G40">
            <v>711740</v>
          </cell>
          <cell r="H40">
            <v>735662</v>
          </cell>
        </row>
        <row r="46">
          <cell r="B46">
            <v>754465</v>
          </cell>
          <cell r="C46">
            <v>758770</v>
          </cell>
          <cell r="G46">
            <v>637841</v>
          </cell>
          <cell r="H46">
            <v>659405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Contents"/>
      <sheetName val="List of Tables (1) "/>
      <sheetName val="List of Tables (2)"/>
      <sheetName val="List of Topics (1)"/>
      <sheetName val="List of Topics (2)"/>
      <sheetName val="List of Topics (3)"/>
      <sheetName val="G 01a"/>
      <sheetName val="G 01b"/>
      <sheetName val="G 02"/>
      <sheetName val="G 03"/>
      <sheetName val="G 04"/>
      <sheetName val="G 05"/>
      <sheetName val="G 06"/>
      <sheetName val="G 07"/>
      <sheetName val="G 08"/>
      <sheetName val="G 09a"/>
      <sheetName val="G 09b"/>
      <sheetName val="G 09c"/>
      <sheetName val="G 09d"/>
      <sheetName val="G 09e"/>
      <sheetName val="G 09f"/>
      <sheetName val="G 10a"/>
      <sheetName val="G 10b"/>
      <sheetName val="G 11a"/>
      <sheetName val="G 11b"/>
      <sheetName val="G 11c"/>
      <sheetName val="G 12a"/>
      <sheetName val="G 12b"/>
      <sheetName val="G 12c"/>
      <sheetName val="G 13a"/>
      <sheetName val="G 13b"/>
      <sheetName val="G 13c"/>
      <sheetName val="G 13d"/>
      <sheetName val="G 13e"/>
      <sheetName val="G 13f"/>
      <sheetName val="G 14"/>
      <sheetName val="G 15"/>
      <sheetName val="G 16"/>
      <sheetName val="G 17a"/>
      <sheetName val="G 17b"/>
      <sheetName val="G 18"/>
      <sheetName val="G 19"/>
      <sheetName val="G 20"/>
      <sheetName val="G 21"/>
      <sheetName val="G 22"/>
      <sheetName val="G 23a"/>
      <sheetName val="G 23b"/>
      <sheetName val="G 24"/>
      <sheetName val="G 25"/>
      <sheetName val="G 26"/>
      <sheetName val="G 27"/>
      <sheetName val="G 28"/>
      <sheetName val="G 29"/>
      <sheetName val="G 30"/>
      <sheetName val="G 31"/>
      <sheetName val="G 32"/>
      <sheetName val="G 33"/>
      <sheetName val="G 34"/>
      <sheetName val="G 35"/>
      <sheetName val="G 36"/>
      <sheetName val="G 37"/>
      <sheetName val="G 38"/>
      <sheetName val="G 39"/>
      <sheetName val="G 40"/>
      <sheetName val="G 41"/>
      <sheetName val="G 42"/>
      <sheetName val="G 43a"/>
      <sheetName val="G 43b"/>
      <sheetName val="G 44a"/>
      <sheetName val="G 44b"/>
      <sheetName val="G 44c"/>
      <sheetName val="G 44d"/>
      <sheetName val="G 45a"/>
      <sheetName val="G 45b"/>
      <sheetName val="G 46a"/>
      <sheetName val="G 46b"/>
      <sheetName val="G 47a"/>
      <sheetName val="G 47b"/>
      <sheetName val="G 48a"/>
      <sheetName val="G 48b"/>
      <sheetName val="G 49a"/>
      <sheetName val="G 49b"/>
      <sheetName val="G 49c"/>
      <sheetName val="G 50a"/>
      <sheetName val="G 50b"/>
      <sheetName val="G 50c"/>
      <sheetName val="G 51a"/>
      <sheetName val="G 51b"/>
      <sheetName val="G 51c"/>
      <sheetName val="G 52a"/>
      <sheetName val="G 52b"/>
      <sheetName val="G 52c"/>
      <sheetName val="G 53"/>
      <sheetName val="G 54"/>
      <sheetName val="G 55"/>
      <sheetName val="G 56"/>
      <sheetName val="G 57"/>
      <sheetName val="G 58"/>
      <sheetName val="G 5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6">
          <cell r="B16">
            <v>752142</v>
          </cell>
          <cell r="C16">
            <v>712638</v>
          </cell>
          <cell r="G16">
            <v>839821</v>
          </cell>
          <cell r="H16">
            <v>864026</v>
          </cell>
          <cell r="L16">
            <v>632357</v>
          </cell>
          <cell r="M16">
            <v>667048</v>
          </cell>
        </row>
        <row r="22">
          <cell r="B22">
            <v>771055</v>
          </cell>
          <cell r="C22">
            <v>731592</v>
          </cell>
          <cell r="G22">
            <v>773132</v>
          </cell>
          <cell r="H22">
            <v>788548</v>
          </cell>
          <cell r="L22">
            <v>581230</v>
          </cell>
          <cell r="M22">
            <v>607766</v>
          </cell>
        </row>
        <row r="28">
          <cell r="B28">
            <v>717629</v>
          </cell>
          <cell r="C28">
            <v>679553</v>
          </cell>
          <cell r="G28">
            <v>777702</v>
          </cell>
          <cell r="H28">
            <v>805551</v>
          </cell>
          <cell r="L28">
            <v>431325</v>
          </cell>
          <cell r="M28">
            <v>456390</v>
          </cell>
        </row>
        <row r="34">
          <cell r="B34">
            <v>727677</v>
          </cell>
          <cell r="C34">
            <v>693915</v>
          </cell>
          <cell r="G34">
            <v>773170</v>
          </cell>
          <cell r="H34">
            <v>808282</v>
          </cell>
          <cell r="L34">
            <v>307441</v>
          </cell>
          <cell r="M34">
            <v>345217</v>
          </cell>
        </row>
        <row r="35">
          <cell r="L35">
            <v>204026</v>
          </cell>
          <cell r="M35">
            <v>256529</v>
          </cell>
        </row>
        <row r="36">
          <cell r="L36">
            <v>123502</v>
          </cell>
          <cell r="M36">
            <v>185463</v>
          </cell>
        </row>
        <row r="37">
          <cell r="L37">
            <v>46828</v>
          </cell>
          <cell r="M37">
            <v>93570</v>
          </cell>
        </row>
        <row r="38">
          <cell r="L38">
            <v>9244</v>
          </cell>
          <cell r="M38">
            <v>24672</v>
          </cell>
        </row>
        <row r="39">
          <cell r="L39">
            <v>777</v>
          </cell>
          <cell r="M39">
            <v>2788</v>
          </cell>
        </row>
        <row r="40">
          <cell r="B40">
            <v>795423</v>
          </cell>
          <cell r="C40">
            <v>771369</v>
          </cell>
          <cell r="G40">
            <v>748954</v>
          </cell>
          <cell r="H40">
            <v>774601</v>
          </cell>
        </row>
        <row r="46">
          <cell r="B46">
            <v>824084</v>
          </cell>
          <cell r="C46">
            <v>840525</v>
          </cell>
          <cell r="G46">
            <v>709115</v>
          </cell>
          <cell r="H46">
            <v>745214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s"/>
      <sheetName val="List of tables"/>
      <sheetName val="List of topics"/>
      <sheetName val="G01"/>
      <sheetName val="G02"/>
      <sheetName val="G03"/>
      <sheetName val="G04"/>
      <sheetName val="G05"/>
      <sheetName val="G06"/>
      <sheetName val="G07"/>
      <sheetName val="G08"/>
      <sheetName val="G09a"/>
      <sheetName val="G09b"/>
      <sheetName val="G09c"/>
      <sheetName val="G10"/>
      <sheetName val="G11a"/>
      <sheetName val="G11b"/>
      <sheetName val="G12a"/>
      <sheetName val="G12b"/>
      <sheetName val="G13a"/>
      <sheetName val="G13b"/>
      <sheetName val="G13c"/>
      <sheetName val="G14"/>
      <sheetName val="G15"/>
      <sheetName val="G16"/>
      <sheetName val="G17"/>
      <sheetName val="G18"/>
      <sheetName val="G19"/>
      <sheetName val="G20"/>
      <sheetName val="G21"/>
      <sheetName val="G22"/>
      <sheetName val="G23"/>
      <sheetName val="G24"/>
      <sheetName val="G25"/>
      <sheetName val="G26"/>
      <sheetName val="G27"/>
      <sheetName val="G28"/>
      <sheetName val="G29"/>
      <sheetName val="G30"/>
      <sheetName val="G31"/>
      <sheetName val="G32"/>
      <sheetName val="G33"/>
      <sheetName val="G34"/>
      <sheetName val="G35"/>
      <sheetName val="G36"/>
      <sheetName val="G37"/>
      <sheetName val="G38"/>
      <sheetName val="G39"/>
      <sheetName val="G40"/>
      <sheetName val="G41"/>
      <sheetName val="G42"/>
      <sheetName val="G43"/>
      <sheetName val="G44"/>
      <sheetName val="G45"/>
      <sheetName val="G46"/>
      <sheetName val="G47a"/>
      <sheetName val="G47b"/>
      <sheetName val="G48"/>
      <sheetName val="G49"/>
      <sheetName val="G50"/>
      <sheetName val="G51"/>
      <sheetName val="G52"/>
      <sheetName val="G53"/>
      <sheetName val="G54"/>
      <sheetName val="G55"/>
      <sheetName val="G56"/>
      <sheetName val="G57"/>
      <sheetName val="G58"/>
      <sheetName val="G59"/>
      <sheetName val="G60"/>
      <sheetName val="G61"/>
      <sheetName val="G62"/>
    </sheetNames>
    <sheetDataSet>
      <sheetData sheetId="0"/>
      <sheetData sheetId="1"/>
      <sheetData sheetId="2"/>
      <sheetData sheetId="3"/>
      <sheetData sheetId="4"/>
      <sheetData sheetId="5"/>
      <sheetData sheetId="6">
        <row r="15">
          <cell r="B15">
            <v>752557</v>
          </cell>
          <cell r="C15">
            <v>711258</v>
          </cell>
          <cell r="G15">
            <v>904395</v>
          </cell>
          <cell r="H15">
            <v>948691</v>
          </cell>
          <cell r="L15">
            <v>711159</v>
          </cell>
          <cell r="M15">
            <v>756943</v>
          </cell>
        </row>
        <row r="21">
          <cell r="B21">
            <v>814704</v>
          </cell>
          <cell r="C21">
            <v>771436</v>
          </cell>
          <cell r="G21">
            <v>901697</v>
          </cell>
          <cell r="H21">
            <v>937130</v>
          </cell>
          <cell r="L21">
            <v>625898</v>
          </cell>
          <cell r="M21">
            <v>672561</v>
          </cell>
        </row>
        <row r="27">
          <cell r="B27">
            <v>816592</v>
          </cell>
          <cell r="C27">
            <v>771460</v>
          </cell>
          <cell r="G27">
            <v>814410</v>
          </cell>
          <cell r="H27">
            <v>834435</v>
          </cell>
          <cell r="L27">
            <v>561275</v>
          </cell>
          <cell r="M27">
            <v>599493</v>
          </cell>
        </row>
        <row r="33">
          <cell r="B33">
            <v>749330</v>
          </cell>
          <cell r="C33">
            <v>708485</v>
          </cell>
          <cell r="G33">
            <v>802516</v>
          </cell>
          <cell r="H33">
            <v>833442</v>
          </cell>
          <cell r="L33">
            <v>392637</v>
          </cell>
          <cell r="M33">
            <v>429281</v>
          </cell>
        </row>
        <row r="34">
          <cell r="L34">
            <v>252476</v>
          </cell>
          <cell r="M34">
            <v>302129</v>
          </cell>
        </row>
        <row r="35">
          <cell r="L35">
            <v>136936</v>
          </cell>
          <cell r="M35">
            <v>191464</v>
          </cell>
        </row>
        <row r="36">
          <cell r="L36">
            <v>59159</v>
          </cell>
          <cell r="M36">
            <v>104199</v>
          </cell>
        </row>
        <row r="37">
          <cell r="L37">
            <v>13179</v>
          </cell>
          <cell r="M37">
            <v>31859</v>
          </cell>
        </row>
        <row r="38">
          <cell r="L38">
            <v>1165</v>
          </cell>
          <cell r="M38">
            <v>4384</v>
          </cell>
        </row>
        <row r="39">
          <cell r="B39">
            <v>806829</v>
          </cell>
          <cell r="C39">
            <v>772711</v>
          </cell>
          <cell r="G39">
            <v>787164</v>
          </cell>
          <cell r="H39">
            <v>823781</v>
          </cell>
        </row>
        <row r="45">
          <cell r="B45">
            <v>886836</v>
          </cell>
          <cell r="C45">
            <v>884837</v>
          </cell>
          <cell r="G45">
            <v>754242</v>
          </cell>
          <cell r="H45">
            <v>787674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7"/>
  <sheetViews>
    <sheetView zoomScale="95" workbookViewId="0">
      <selection activeCell="G1" sqref="G1:K127"/>
    </sheetView>
  </sheetViews>
  <sheetFormatPr defaultRowHeight="14.4"/>
  <cols>
    <col min="2" max="2" width="10.88671875" customWidth="1"/>
    <col min="3" max="3" width="12.33203125" customWidth="1"/>
    <col min="4" max="4" width="12" customWidth="1"/>
  </cols>
  <sheetData>
    <row r="1" spans="1:13">
      <c r="A1" t="s">
        <v>22</v>
      </c>
      <c r="B1" t="s">
        <v>23</v>
      </c>
      <c r="C1" t="s">
        <v>0</v>
      </c>
      <c r="D1" t="s">
        <v>24</v>
      </c>
    </row>
    <row r="2" spans="1:13">
      <c r="A2">
        <v>2011</v>
      </c>
      <c r="B2" s="1" t="s">
        <v>1</v>
      </c>
      <c r="C2" t="s">
        <v>25</v>
      </c>
      <c r="D2" s="5" cm="1">
        <f t="array" ref="D2:D3">TRANSPOSE('[1]B 04'!$B$16:$C$16)</f>
        <v>729968</v>
      </c>
      <c r="E2" s="5">
        <f>-D2</f>
        <v>-729968</v>
      </c>
      <c r="H2" s="1"/>
      <c r="I2" s="2"/>
      <c r="J2" s="2"/>
      <c r="M2" s="1"/>
    </row>
    <row r="3" spans="1:13">
      <c r="A3">
        <v>2011</v>
      </c>
      <c r="B3" s="1" t="s">
        <v>1</v>
      </c>
      <c r="C3" t="s">
        <v>26</v>
      </c>
      <c r="D3" s="6">
        <v>691080</v>
      </c>
      <c r="E3" s="5">
        <f>D3</f>
        <v>691080</v>
      </c>
      <c r="I3" s="2"/>
      <c r="J3" s="2"/>
      <c r="M3" s="1"/>
    </row>
    <row r="4" spans="1:13">
      <c r="A4">
        <v>2011</v>
      </c>
      <c r="B4" t="s">
        <v>2</v>
      </c>
      <c r="C4" t="s">
        <v>25</v>
      </c>
      <c r="D4" s="5" cm="1">
        <f t="array" ref="D4:D5">TRANSPOSE('[1]B 04'!$B$22:$C$22)</f>
        <v>694561</v>
      </c>
      <c r="E4" s="5">
        <f t="shared" ref="E4" si="0">-D4</f>
        <v>-694561</v>
      </c>
      <c r="I4" s="2"/>
      <c r="J4" s="2"/>
    </row>
    <row r="5" spans="1:13">
      <c r="A5">
        <v>2011</v>
      </c>
      <c r="B5" t="s">
        <v>2</v>
      </c>
      <c r="C5" t="s">
        <v>26</v>
      </c>
      <c r="D5" s="5">
        <v>657360</v>
      </c>
      <c r="E5" s="5">
        <f t="shared" ref="E5" si="1">D5</f>
        <v>657360</v>
      </c>
      <c r="I5" s="2"/>
      <c r="J5" s="2"/>
    </row>
    <row r="6" spans="1:13">
      <c r="A6">
        <v>2011</v>
      </c>
      <c r="B6" s="4" t="s">
        <v>3</v>
      </c>
      <c r="C6" t="s">
        <v>25</v>
      </c>
      <c r="D6" cm="1">
        <f t="array" ref="D6:D7">TRANSPOSE('[1]B 04'!$B$28:$C$28)</f>
        <v>703307</v>
      </c>
      <c r="E6" s="5">
        <f t="shared" ref="E6" si="2">-D6</f>
        <v>-703307</v>
      </c>
      <c r="I6" s="2"/>
      <c r="J6" s="2"/>
    </row>
    <row r="7" spans="1:13">
      <c r="A7">
        <v>2011</v>
      </c>
      <c r="B7" s="3" t="s">
        <v>3</v>
      </c>
      <c r="C7" t="s">
        <v>26</v>
      </c>
      <c r="D7">
        <v>667748</v>
      </c>
      <c r="E7" s="5">
        <f t="shared" ref="E7" si="3">D7</f>
        <v>667748</v>
      </c>
      <c r="I7" s="2"/>
      <c r="J7" s="2"/>
    </row>
    <row r="8" spans="1:13">
      <c r="A8">
        <v>2011</v>
      </c>
      <c r="B8" t="s">
        <v>5</v>
      </c>
      <c r="C8" t="s">
        <v>25</v>
      </c>
      <c r="D8" cm="1">
        <f t="array" ref="D8:D9">TRANSPOSE('[1]B 04'!$B$34:$C$34)</f>
        <v>722379</v>
      </c>
      <c r="E8" s="5">
        <f t="shared" ref="E8" si="4">-D8</f>
        <v>-722379</v>
      </c>
    </row>
    <row r="9" spans="1:13">
      <c r="A9">
        <v>2011</v>
      </c>
      <c r="B9" t="s">
        <v>5</v>
      </c>
      <c r="C9" t="s">
        <v>26</v>
      </c>
      <c r="D9">
        <v>683419</v>
      </c>
      <c r="E9" s="5">
        <f t="shared" ref="E9" si="5">D9</f>
        <v>683419</v>
      </c>
    </row>
    <row r="10" spans="1:13">
      <c r="A10">
        <v>2011</v>
      </c>
      <c r="B10" t="s">
        <v>6</v>
      </c>
      <c r="C10" t="s">
        <v>25</v>
      </c>
      <c r="D10" cm="1">
        <f t="array" ref="D10:D11">TRANSPOSE('[1]B 04'!$B$40:$C$40)</f>
        <v>741122</v>
      </c>
      <c r="E10" s="5">
        <f t="shared" ref="E10" si="6">-D10</f>
        <v>-741122</v>
      </c>
    </row>
    <row r="11" spans="1:13">
      <c r="A11">
        <v>2011</v>
      </c>
      <c r="B11" t="s">
        <v>6</v>
      </c>
      <c r="C11" t="s">
        <v>26</v>
      </c>
      <c r="D11">
        <v>719555</v>
      </c>
      <c r="E11" s="5">
        <f t="shared" ref="E11" si="7">D11</f>
        <v>719555</v>
      </c>
    </row>
    <row r="12" spans="1:13">
      <c r="A12">
        <v>2011</v>
      </c>
      <c r="B12" t="s">
        <v>7</v>
      </c>
      <c r="C12" t="s">
        <v>25</v>
      </c>
      <c r="D12" cm="1">
        <f t="array" ref="D12:D13">TRANSPOSE('[1]B 04'!$B$46:$C$46)</f>
        <v>754465</v>
      </c>
      <c r="E12" s="5">
        <f t="shared" ref="E12" si="8">-D12</f>
        <v>-754465</v>
      </c>
    </row>
    <row r="13" spans="1:13">
      <c r="A13">
        <v>2011</v>
      </c>
      <c r="B13" t="s">
        <v>7</v>
      </c>
      <c r="C13" t="s">
        <v>26</v>
      </c>
      <c r="D13">
        <v>758770</v>
      </c>
      <c r="E13" s="5">
        <f t="shared" ref="E13" si="9">D13</f>
        <v>758770</v>
      </c>
    </row>
    <row r="14" spans="1:13">
      <c r="A14">
        <v>2011</v>
      </c>
      <c r="B14" t="s">
        <v>8</v>
      </c>
      <c r="C14" t="s">
        <v>25</v>
      </c>
      <c r="D14" cm="1">
        <f t="array" ref="D14:D15">TRANSPOSE('[1]B 04'!$G$16:$H$16)</f>
        <v>719654</v>
      </c>
      <c r="E14" s="5">
        <f t="shared" ref="E14" si="10">-D14</f>
        <v>-719654</v>
      </c>
    </row>
    <row r="15" spans="1:13">
      <c r="A15">
        <v>2011</v>
      </c>
      <c r="B15" t="s">
        <v>8</v>
      </c>
      <c r="C15" t="s">
        <v>26</v>
      </c>
      <c r="D15">
        <v>734121</v>
      </c>
      <c r="E15" s="5">
        <f t="shared" ref="E15" si="11">D15</f>
        <v>734121</v>
      </c>
    </row>
    <row r="16" spans="1:13">
      <c r="A16">
        <v>2011</v>
      </c>
      <c r="B16" t="s">
        <v>9</v>
      </c>
      <c r="C16" t="s">
        <v>25</v>
      </c>
      <c r="D16" cm="1">
        <f t="array" ref="D16:D17">TRANSPOSE('[1]B 04'!$G$22:$H$22)</f>
        <v>747117</v>
      </c>
      <c r="E16" s="5">
        <f t="shared" ref="E16" si="12">-D16</f>
        <v>-747117</v>
      </c>
    </row>
    <row r="17" spans="1:5">
      <c r="A17">
        <v>2011</v>
      </c>
      <c r="B17" t="s">
        <v>9</v>
      </c>
      <c r="C17" t="s">
        <v>26</v>
      </c>
      <c r="D17">
        <v>773021</v>
      </c>
      <c r="E17" s="5">
        <f t="shared" ref="E17" si="13">D17</f>
        <v>773021</v>
      </c>
    </row>
    <row r="18" spans="1:5">
      <c r="A18">
        <v>2011</v>
      </c>
      <c r="B18" t="s">
        <v>10</v>
      </c>
      <c r="C18" t="s">
        <v>25</v>
      </c>
      <c r="D18" cm="1">
        <f t="array" ref="D18:D19">TRANSPOSE('[1]B 04'!$G$28:$H$28)</f>
        <v>754571</v>
      </c>
      <c r="E18" s="5">
        <f t="shared" ref="E18" si="14">-D18</f>
        <v>-754571</v>
      </c>
    </row>
    <row r="19" spans="1:5">
      <c r="A19">
        <v>2011</v>
      </c>
      <c r="B19" t="s">
        <v>10</v>
      </c>
      <c r="C19" t="s">
        <v>26</v>
      </c>
      <c r="D19">
        <v>788308</v>
      </c>
      <c r="E19" s="5">
        <f t="shared" ref="E19" si="15">D19</f>
        <v>788308</v>
      </c>
    </row>
    <row r="20" spans="1:5">
      <c r="A20">
        <v>2011</v>
      </c>
      <c r="B20" t="s">
        <v>11</v>
      </c>
      <c r="C20" t="s">
        <v>25</v>
      </c>
      <c r="D20" cm="1">
        <f t="array" ref="D20:D21">TRANSPOSE('[1]B 04'!$G$34:$H$34)</f>
        <v>740963</v>
      </c>
      <c r="E20" s="5">
        <f t="shared" ref="E20" si="16">-D20</f>
        <v>-740963</v>
      </c>
    </row>
    <row r="21" spans="1:5">
      <c r="A21">
        <v>2011</v>
      </c>
      <c r="B21" t="s">
        <v>11</v>
      </c>
      <c r="C21" t="s">
        <v>26</v>
      </c>
      <c r="D21">
        <v>763179</v>
      </c>
      <c r="E21" s="5">
        <f t="shared" ref="E21" si="17">D21</f>
        <v>763179</v>
      </c>
    </row>
    <row r="22" spans="1:5">
      <c r="A22">
        <v>2011</v>
      </c>
      <c r="B22" t="s">
        <v>12</v>
      </c>
      <c r="C22" t="s">
        <v>25</v>
      </c>
      <c r="D22" cm="1">
        <f t="array" ref="D22:D23">TRANSPOSE('[1]B 04'!$G$40:$H$40)</f>
        <v>711740</v>
      </c>
      <c r="E22" s="5">
        <f t="shared" ref="E22" si="18">-D22</f>
        <v>-711740</v>
      </c>
    </row>
    <row r="23" spans="1:5">
      <c r="A23">
        <v>2011</v>
      </c>
      <c r="B23" t="s">
        <v>12</v>
      </c>
      <c r="C23" t="s">
        <v>26</v>
      </c>
      <c r="D23">
        <v>735662</v>
      </c>
      <c r="E23" s="5">
        <f t="shared" ref="E23" si="19">D23</f>
        <v>735662</v>
      </c>
    </row>
    <row r="24" spans="1:5">
      <c r="A24">
        <v>2011</v>
      </c>
      <c r="B24" t="s">
        <v>13</v>
      </c>
      <c r="C24" t="s">
        <v>25</v>
      </c>
      <c r="D24" cm="1">
        <f t="array" ref="D24:D25">TRANSPOSE('[1]B 04'!$G$46:$H$46)</f>
        <v>637841</v>
      </c>
      <c r="E24" s="5">
        <f t="shared" ref="E24" si="20">-D24</f>
        <v>-637841</v>
      </c>
    </row>
    <row r="25" spans="1:5">
      <c r="A25">
        <v>2011</v>
      </c>
      <c r="B25" t="s">
        <v>13</v>
      </c>
      <c r="C25" t="s">
        <v>26</v>
      </c>
      <c r="D25">
        <v>659405</v>
      </c>
      <c r="E25" s="5">
        <f t="shared" ref="E25" si="21">D25</f>
        <v>659405</v>
      </c>
    </row>
    <row r="26" spans="1:5">
      <c r="A26">
        <v>2011</v>
      </c>
      <c r="B26" t="s">
        <v>14</v>
      </c>
      <c r="C26" t="s">
        <v>25</v>
      </c>
      <c r="D26" cm="1">
        <f t="array" ref="D26:D27">TRANSPOSE('[1]B 04'!$L$16:$M$16)</f>
        <v>597885</v>
      </c>
      <c r="E26" s="5">
        <f t="shared" ref="E26" si="22">-D26</f>
        <v>-597885</v>
      </c>
    </row>
    <row r="27" spans="1:5">
      <c r="A27">
        <v>2011</v>
      </c>
      <c r="B27" t="s">
        <v>14</v>
      </c>
      <c r="C27" t="s">
        <v>26</v>
      </c>
      <c r="D27">
        <v>608231</v>
      </c>
      <c r="E27" s="5">
        <f t="shared" ref="E27" si="23">D27</f>
        <v>608231</v>
      </c>
    </row>
    <row r="28" spans="1:5">
      <c r="A28">
        <v>2011</v>
      </c>
      <c r="B28" t="s">
        <v>15</v>
      </c>
      <c r="C28" t="s">
        <v>25</v>
      </c>
      <c r="D28" cm="1">
        <f t="array" ref="D28:D29">TRANSPOSE('[1]B 04'!$L$22:$M$22)</f>
        <v>455418</v>
      </c>
      <c r="E28" s="5">
        <f t="shared" ref="E28" si="24">-D28</f>
        <v>-455418</v>
      </c>
    </row>
    <row r="29" spans="1:5">
      <c r="A29">
        <v>2011</v>
      </c>
      <c r="B29" t="s">
        <v>15</v>
      </c>
      <c r="C29" t="s">
        <v>26</v>
      </c>
      <c r="D29">
        <v>463901</v>
      </c>
      <c r="E29" s="5">
        <f t="shared" ref="E29" si="25">D29</f>
        <v>463901</v>
      </c>
    </row>
    <row r="30" spans="1:5">
      <c r="A30">
        <v>2011</v>
      </c>
      <c r="B30" t="s">
        <v>16</v>
      </c>
      <c r="C30" t="s">
        <v>25</v>
      </c>
      <c r="D30" cm="1">
        <f t="array" ref="D30:D31">TRANSPOSE('[1]B 04'!$L$28:$M$28)</f>
        <v>342690</v>
      </c>
      <c r="E30" s="5">
        <f t="shared" ref="E30" si="26">-D30</f>
        <v>-342690</v>
      </c>
    </row>
    <row r="31" spans="1:5">
      <c r="A31">
        <v>2011</v>
      </c>
      <c r="B31" t="s">
        <v>16</v>
      </c>
      <c r="C31" t="s">
        <v>26</v>
      </c>
      <c r="D31">
        <v>365398</v>
      </c>
      <c r="E31" s="5">
        <f t="shared" ref="E31" si="27">D31</f>
        <v>365398</v>
      </c>
    </row>
    <row r="32" spans="1:5">
      <c r="A32">
        <v>2011</v>
      </c>
      <c r="B32" t="s">
        <v>17</v>
      </c>
      <c r="C32" t="s">
        <v>25</v>
      </c>
      <c r="D32" cm="1">
        <f t="array" ref="D32:D33">TRANSPOSE('[1]B 04'!$L$34:$M$34)</f>
        <v>252928</v>
      </c>
      <c r="E32" s="5">
        <f t="shared" ref="E32" si="28">-D32</f>
        <v>-252928</v>
      </c>
    </row>
    <row r="33" spans="1:5">
      <c r="A33">
        <v>2011</v>
      </c>
      <c r="B33" t="s">
        <v>17</v>
      </c>
      <c r="C33" t="s">
        <v>26</v>
      </c>
      <c r="D33">
        <v>292333</v>
      </c>
      <c r="E33" s="5">
        <f t="shared" ref="E33" si="29">D33</f>
        <v>292333</v>
      </c>
    </row>
    <row r="34" spans="1:5">
      <c r="A34">
        <v>2011</v>
      </c>
      <c r="B34" t="s">
        <v>18</v>
      </c>
      <c r="C34" t="s">
        <v>25</v>
      </c>
      <c r="D34" cm="1">
        <f t="array" ref="D34:D35">TRANSPOSE('[1]B 04'!$L$35:$M$35)</f>
        <v>188241</v>
      </c>
      <c r="E34" s="5">
        <f t="shared" ref="E34" si="30">-D34</f>
        <v>-188241</v>
      </c>
    </row>
    <row r="35" spans="1:5">
      <c r="A35">
        <v>2011</v>
      </c>
      <c r="B35" t="s">
        <v>18</v>
      </c>
      <c r="C35" t="s">
        <v>26</v>
      </c>
      <c r="D35">
        <v>248695</v>
      </c>
      <c r="E35" s="5">
        <f t="shared" ref="E35" si="31">D35</f>
        <v>248695</v>
      </c>
    </row>
    <row r="36" spans="1:5">
      <c r="A36">
        <v>2011</v>
      </c>
      <c r="B36" t="s">
        <v>19</v>
      </c>
      <c r="C36" t="s">
        <v>25</v>
      </c>
      <c r="D36" cm="1">
        <f t="array" ref="D36:D37">TRANSPOSE('[1]B 04'!$L$36:$M$36)</f>
        <v>100804</v>
      </c>
      <c r="E36" s="5">
        <f t="shared" ref="E36" si="32">-D36</f>
        <v>-100804</v>
      </c>
    </row>
    <row r="37" spans="1:5">
      <c r="A37">
        <v>2011</v>
      </c>
      <c r="B37" t="s">
        <v>19</v>
      </c>
      <c r="C37" t="s">
        <v>26</v>
      </c>
      <c r="D37">
        <v>169994</v>
      </c>
      <c r="E37" s="5">
        <f>D37</f>
        <v>169994</v>
      </c>
    </row>
    <row r="38" spans="1:5">
      <c r="A38">
        <v>2011</v>
      </c>
      <c r="B38" t="s">
        <v>20</v>
      </c>
      <c r="C38" t="s">
        <v>25</v>
      </c>
      <c r="D38" cm="1">
        <f t="array" ref="D38:D39">TRANSPOSE('[1]B 04'!$L$37:$M$37)</f>
        <v>31793</v>
      </c>
      <c r="E38" s="5">
        <f>-D38</f>
        <v>-31793</v>
      </c>
    </row>
    <row r="39" spans="1:5">
      <c r="A39">
        <v>2011</v>
      </c>
      <c r="B39" t="s">
        <v>20</v>
      </c>
      <c r="C39" t="s">
        <v>26</v>
      </c>
      <c r="D39">
        <v>71981</v>
      </c>
      <c r="E39" s="5">
        <f t="shared" ref="E39" si="33">D39</f>
        <v>71981</v>
      </c>
    </row>
    <row r="40" spans="1:5">
      <c r="A40">
        <v>2011</v>
      </c>
      <c r="B40" t="s">
        <v>21</v>
      </c>
      <c r="C40" t="s">
        <v>25</v>
      </c>
      <c r="D40" cm="1">
        <f t="array" ref="D40:D41">TRANSPOSE('[1]B 04'!$L$38:$M$38)</f>
        <v>5910</v>
      </c>
      <c r="E40" s="5">
        <f t="shared" ref="E40" si="34">-D40</f>
        <v>-5910</v>
      </c>
    </row>
    <row r="41" spans="1:5">
      <c r="A41">
        <v>2011</v>
      </c>
      <c r="B41" t="s">
        <v>21</v>
      </c>
      <c r="C41" t="s">
        <v>26</v>
      </c>
      <c r="D41">
        <v>18925</v>
      </c>
      <c r="E41" s="5">
        <f t="shared" ref="E41" si="35">D41</f>
        <v>18925</v>
      </c>
    </row>
    <row r="42" spans="1:5">
      <c r="A42">
        <v>2011</v>
      </c>
      <c r="B42" t="s">
        <v>4</v>
      </c>
      <c r="C42" t="s">
        <v>25</v>
      </c>
      <c r="D42" cm="1">
        <f t="array" ref="D42:D43">TRANSPOSE('[1]B 04'!$L$39:$M$39)</f>
        <v>657</v>
      </c>
      <c r="E42" s="5">
        <f t="shared" ref="E42" si="36">-D42</f>
        <v>-657</v>
      </c>
    </row>
    <row r="43" spans="1:5">
      <c r="A43">
        <v>2011</v>
      </c>
      <c r="B43" t="s">
        <v>4</v>
      </c>
      <c r="C43" t="s">
        <v>26</v>
      </c>
      <c r="D43">
        <v>2619</v>
      </c>
      <c r="E43" s="5">
        <f t="shared" ref="E43" si="37">D43</f>
        <v>2619</v>
      </c>
    </row>
    <row r="44" spans="1:5">
      <c r="A44">
        <v>2016</v>
      </c>
      <c r="B44" s="1" t="s">
        <v>1</v>
      </c>
      <c r="C44" t="s">
        <v>25</v>
      </c>
      <c r="D44" s="5" cm="1">
        <f t="array" ref="D44:D45">TRANSPOSE('[2]G 04'!$B$16:$C$16)</f>
        <v>752142</v>
      </c>
      <c r="E44" s="5">
        <f t="shared" ref="E44" si="38">-D44</f>
        <v>-752142</v>
      </c>
    </row>
    <row r="45" spans="1:5">
      <c r="A45">
        <v>2016</v>
      </c>
      <c r="B45" s="1" t="s">
        <v>1</v>
      </c>
      <c r="C45" t="s">
        <v>26</v>
      </c>
      <c r="D45" s="6">
        <v>712638</v>
      </c>
      <c r="E45" s="5">
        <f t="shared" ref="E45" si="39">D45</f>
        <v>712638</v>
      </c>
    </row>
    <row r="46" spans="1:5">
      <c r="A46">
        <v>2016</v>
      </c>
      <c r="B46" t="s">
        <v>2</v>
      </c>
      <c r="C46" t="s">
        <v>25</v>
      </c>
      <c r="D46" s="5" cm="1">
        <f t="array" ref="D46:D47">TRANSPOSE('[2]G 04'!$B$22:$C$22)</f>
        <v>771055</v>
      </c>
      <c r="E46" s="5">
        <f t="shared" ref="E46" si="40">-D46</f>
        <v>-771055</v>
      </c>
    </row>
    <row r="47" spans="1:5">
      <c r="A47">
        <v>2016</v>
      </c>
      <c r="B47" t="s">
        <v>2</v>
      </c>
      <c r="C47" t="s">
        <v>26</v>
      </c>
      <c r="D47" s="5">
        <v>731592</v>
      </c>
      <c r="E47" s="5">
        <f t="shared" ref="E47" si="41">D47</f>
        <v>731592</v>
      </c>
    </row>
    <row r="48" spans="1:5">
      <c r="A48">
        <v>2016</v>
      </c>
      <c r="B48" t="s">
        <v>3</v>
      </c>
      <c r="C48" t="s">
        <v>25</v>
      </c>
      <c r="D48" cm="1">
        <f t="array" ref="D48:D49">TRANSPOSE('[2]G 04'!$B$28:$C$28)</f>
        <v>717629</v>
      </c>
      <c r="E48" s="5">
        <f t="shared" ref="E48" si="42">-D48</f>
        <v>-717629</v>
      </c>
    </row>
    <row r="49" spans="1:5">
      <c r="A49">
        <v>2016</v>
      </c>
      <c r="B49" t="s">
        <v>3</v>
      </c>
      <c r="C49" t="s">
        <v>26</v>
      </c>
      <c r="D49">
        <v>679553</v>
      </c>
      <c r="E49" s="5">
        <f t="shared" ref="E49" si="43">D49</f>
        <v>679553</v>
      </c>
    </row>
    <row r="50" spans="1:5">
      <c r="A50">
        <v>2016</v>
      </c>
      <c r="B50" t="s">
        <v>5</v>
      </c>
      <c r="C50" t="s">
        <v>25</v>
      </c>
      <c r="D50" cm="1">
        <f t="array" ref="D50:D51">TRANSPOSE('[2]G 04'!$B$34:$C$34)</f>
        <v>727677</v>
      </c>
      <c r="E50" s="5">
        <f t="shared" ref="E50" si="44">-D50</f>
        <v>-727677</v>
      </c>
    </row>
    <row r="51" spans="1:5">
      <c r="A51">
        <v>2016</v>
      </c>
      <c r="B51" t="s">
        <v>5</v>
      </c>
      <c r="C51" t="s">
        <v>26</v>
      </c>
      <c r="D51">
        <v>693915</v>
      </c>
      <c r="E51" s="5">
        <f t="shared" ref="E51" si="45">D51</f>
        <v>693915</v>
      </c>
    </row>
    <row r="52" spans="1:5">
      <c r="A52">
        <v>2016</v>
      </c>
      <c r="B52" t="s">
        <v>6</v>
      </c>
      <c r="C52" t="s">
        <v>25</v>
      </c>
      <c r="D52" cm="1">
        <f t="array" ref="D52:D53">TRANSPOSE('[2]G 04'!$B$40:$C$40)</f>
        <v>795423</v>
      </c>
      <c r="E52" s="5">
        <f t="shared" ref="E52" si="46">-D52</f>
        <v>-795423</v>
      </c>
    </row>
    <row r="53" spans="1:5">
      <c r="A53">
        <v>2016</v>
      </c>
      <c r="B53" t="s">
        <v>6</v>
      </c>
      <c r="C53" t="s">
        <v>26</v>
      </c>
      <c r="D53">
        <v>771369</v>
      </c>
      <c r="E53" s="5">
        <f t="shared" ref="E53" si="47">D53</f>
        <v>771369</v>
      </c>
    </row>
    <row r="54" spans="1:5">
      <c r="A54">
        <v>2016</v>
      </c>
      <c r="B54" t="s">
        <v>7</v>
      </c>
      <c r="C54" t="s">
        <v>25</v>
      </c>
      <c r="D54" cm="1">
        <f t="array" ref="D54:D55">TRANSPOSE('[2]G 04'!$B$46:$C$46)</f>
        <v>824084</v>
      </c>
      <c r="E54" s="5">
        <f t="shared" ref="E54" si="48">-D54</f>
        <v>-824084</v>
      </c>
    </row>
    <row r="55" spans="1:5">
      <c r="A55">
        <v>2016</v>
      </c>
      <c r="B55" t="s">
        <v>7</v>
      </c>
      <c r="C55" t="s">
        <v>26</v>
      </c>
      <c r="D55">
        <v>840525</v>
      </c>
      <c r="E55" s="5">
        <f t="shared" ref="E55" si="49">D55</f>
        <v>840525</v>
      </c>
    </row>
    <row r="56" spans="1:5">
      <c r="A56">
        <v>2016</v>
      </c>
      <c r="B56" t="s">
        <v>8</v>
      </c>
      <c r="C56" t="s">
        <v>25</v>
      </c>
      <c r="D56" cm="1">
        <f t="array" ref="D56:D57">TRANSPOSE('[2]G 04'!$G$16:$H$16)</f>
        <v>839821</v>
      </c>
      <c r="E56" s="5">
        <f t="shared" ref="E56" si="50">-D56</f>
        <v>-839821</v>
      </c>
    </row>
    <row r="57" spans="1:5">
      <c r="A57">
        <v>2016</v>
      </c>
      <c r="B57" t="s">
        <v>8</v>
      </c>
      <c r="C57" t="s">
        <v>26</v>
      </c>
      <c r="D57">
        <v>864026</v>
      </c>
      <c r="E57" s="5">
        <f t="shared" ref="E57" si="51">D57</f>
        <v>864026</v>
      </c>
    </row>
    <row r="58" spans="1:5">
      <c r="A58">
        <v>2016</v>
      </c>
      <c r="B58" t="s">
        <v>9</v>
      </c>
      <c r="C58" t="s">
        <v>25</v>
      </c>
      <c r="D58" cm="1">
        <f t="array" ref="D58:D59">TRANSPOSE('[2]G 04'!$G$22:$H$22)</f>
        <v>773132</v>
      </c>
      <c r="E58" s="5">
        <f t="shared" ref="E58" si="52">-D58</f>
        <v>-773132</v>
      </c>
    </row>
    <row r="59" spans="1:5">
      <c r="A59">
        <v>2016</v>
      </c>
      <c r="B59" t="s">
        <v>9</v>
      </c>
      <c r="C59" t="s">
        <v>26</v>
      </c>
      <c r="D59">
        <v>788548</v>
      </c>
      <c r="E59" s="5">
        <f t="shared" ref="E59" si="53">D59</f>
        <v>788548</v>
      </c>
    </row>
    <row r="60" spans="1:5">
      <c r="A60">
        <v>2016</v>
      </c>
      <c r="B60" t="s">
        <v>10</v>
      </c>
      <c r="C60" t="s">
        <v>25</v>
      </c>
      <c r="D60" cm="1">
        <f t="array" ref="D60:D61">TRANSPOSE('[2]G 04'!$G$28:$H$28)</f>
        <v>777702</v>
      </c>
      <c r="E60" s="5">
        <f t="shared" ref="E60" si="54">-D60</f>
        <v>-777702</v>
      </c>
    </row>
    <row r="61" spans="1:5">
      <c r="A61">
        <v>2016</v>
      </c>
      <c r="B61" t="s">
        <v>10</v>
      </c>
      <c r="C61" t="s">
        <v>26</v>
      </c>
      <c r="D61">
        <v>805551</v>
      </c>
      <c r="E61" s="5">
        <f t="shared" ref="E61" si="55">D61</f>
        <v>805551</v>
      </c>
    </row>
    <row r="62" spans="1:5">
      <c r="A62">
        <v>2016</v>
      </c>
      <c r="B62" t="s">
        <v>11</v>
      </c>
      <c r="C62" t="s">
        <v>25</v>
      </c>
      <c r="D62" cm="1">
        <f t="array" ref="D62:D63">TRANSPOSE('[2]G 04'!$G$34:$H$34)</f>
        <v>773170</v>
      </c>
      <c r="E62" s="5">
        <f t="shared" ref="E62" si="56">-D62</f>
        <v>-773170</v>
      </c>
    </row>
    <row r="63" spans="1:5">
      <c r="A63">
        <v>2016</v>
      </c>
      <c r="B63" t="s">
        <v>11</v>
      </c>
      <c r="C63" t="s">
        <v>26</v>
      </c>
      <c r="D63">
        <v>808282</v>
      </c>
      <c r="E63" s="5">
        <f t="shared" ref="E63" si="57">D63</f>
        <v>808282</v>
      </c>
    </row>
    <row r="64" spans="1:5">
      <c r="A64">
        <v>2016</v>
      </c>
      <c r="B64" t="s">
        <v>12</v>
      </c>
      <c r="C64" t="s">
        <v>25</v>
      </c>
      <c r="D64" cm="1">
        <f t="array" ref="D64:D65">TRANSPOSE('[2]G 04'!$G$40:$H$40)</f>
        <v>748954</v>
      </c>
      <c r="E64" s="5">
        <f t="shared" ref="E64" si="58">-D64</f>
        <v>-748954</v>
      </c>
    </row>
    <row r="65" spans="1:5">
      <c r="A65">
        <v>2016</v>
      </c>
      <c r="B65" t="s">
        <v>12</v>
      </c>
      <c r="C65" t="s">
        <v>26</v>
      </c>
      <c r="D65">
        <v>774601</v>
      </c>
      <c r="E65" s="5">
        <f t="shared" ref="E65" si="59">D65</f>
        <v>774601</v>
      </c>
    </row>
    <row r="66" spans="1:5">
      <c r="A66">
        <v>2016</v>
      </c>
      <c r="B66" t="s">
        <v>13</v>
      </c>
      <c r="C66" t="s">
        <v>25</v>
      </c>
      <c r="D66" cm="1">
        <f t="array" ref="D66:D67">TRANSPOSE('[2]G 04'!$G$46:$H$46)</f>
        <v>709115</v>
      </c>
      <c r="E66" s="5">
        <f t="shared" ref="E66" si="60">-D66</f>
        <v>-709115</v>
      </c>
    </row>
    <row r="67" spans="1:5">
      <c r="A67">
        <v>2016</v>
      </c>
      <c r="B67" t="s">
        <v>13</v>
      </c>
      <c r="C67" t="s">
        <v>26</v>
      </c>
      <c r="D67">
        <v>745214</v>
      </c>
      <c r="E67" s="5">
        <f t="shared" ref="E67" si="61">D67</f>
        <v>745214</v>
      </c>
    </row>
    <row r="68" spans="1:5">
      <c r="A68">
        <v>2016</v>
      </c>
      <c r="B68" t="s">
        <v>14</v>
      </c>
      <c r="C68" t="s">
        <v>25</v>
      </c>
      <c r="D68" cm="1">
        <f t="array" ref="D68:D69">TRANSPOSE('[2]G 04'!$L$16:$M$16)</f>
        <v>632357</v>
      </c>
      <c r="E68" s="5">
        <f t="shared" ref="E68" si="62">-D68</f>
        <v>-632357</v>
      </c>
    </row>
    <row r="69" spans="1:5">
      <c r="A69">
        <v>2016</v>
      </c>
      <c r="B69" t="s">
        <v>14</v>
      </c>
      <c r="C69" t="s">
        <v>26</v>
      </c>
      <c r="D69">
        <v>667048</v>
      </c>
      <c r="E69" s="5">
        <f t="shared" ref="E69" si="63">D69</f>
        <v>667048</v>
      </c>
    </row>
    <row r="70" spans="1:5">
      <c r="A70">
        <v>2016</v>
      </c>
      <c r="B70" t="s">
        <v>15</v>
      </c>
      <c r="C70" t="s">
        <v>25</v>
      </c>
      <c r="D70" cm="1">
        <f t="array" ref="D70:D71">TRANSPOSE('[2]G 04'!$L$22:$M$22)</f>
        <v>581230</v>
      </c>
      <c r="E70" s="5">
        <f t="shared" ref="E70" si="64">-D70</f>
        <v>-581230</v>
      </c>
    </row>
    <row r="71" spans="1:5">
      <c r="A71">
        <v>2016</v>
      </c>
      <c r="B71" t="s">
        <v>15</v>
      </c>
      <c r="C71" t="s">
        <v>26</v>
      </c>
      <c r="D71">
        <v>607766</v>
      </c>
      <c r="E71" s="5">
        <f t="shared" ref="E71" si="65">D71</f>
        <v>607766</v>
      </c>
    </row>
    <row r="72" spans="1:5">
      <c r="A72">
        <v>2016</v>
      </c>
      <c r="B72" t="s">
        <v>16</v>
      </c>
      <c r="C72" t="s">
        <v>25</v>
      </c>
      <c r="D72" cm="1">
        <f t="array" ref="D72:D73">TRANSPOSE('[2]G 04'!$L$28:$M$28)</f>
        <v>431325</v>
      </c>
      <c r="E72" s="5">
        <f t="shared" ref="E72" si="66">-D72</f>
        <v>-431325</v>
      </c>
    </row>
    <row r="73" spans="1:5">
      <c r="A73">
        <v>2016</v>
      </c>
      <c r="B73" t="s">
        <v>16</v>
      </c>
      <c r="C73" t="s">
        <v>26</v>
      </c>
      <c r="D73">
        <v>456390</v>
      </c>
      <c r="E73" s="5">
        <f t="shared" ref="E73" si="67">D73</f>
        <v>456390</v>
      </c>
    </row>
    <row r="74" spans="1:5">
      <c r="A74">
        <v>2016</v>
      </c>
      <c r="B74" t="s">
        <v>17</v>
      </c>
      <c r="C74" t="s">
        <v>25</v>
      </c>
      <c r="D74" cm="1">
        <f t="array" ref="D74:D75">TRANSPOSE('[2]G 04'!$L$34:$M$34)</f>
        <v>307441</v>
      </c>
      <c r="E74" s="5">
        <f t="shared" ref="E74" si="68">-D74</f>
        <v>-307441</v>
      </c>
    </row>
    <row r="75" spans="1:5">
      <c r="A75">
        <v>2016</v>
      </c>
      <c r="B75" t="s">
        <v>17</v>
      </c>
      <c r="C75" t="s">
        <v>26</v>
      </c>
      <c r="D75">
        <v>345217</v>
      </c>
      <c r="E75" s="5">
        <f t="shared" ref="E75" si="69">D75</f>
        <v>345217</v>
      </c>
    </row>
    <row r="76" spans="1:5">
      <c r="A76">
        <v>2016</v>
      </c>
      <c r="B76" t="s">
        <v>18</v>
      </c>
      <c r="C76" t="s">
        <v>25</v>
      </c>
      <c r="D76" cm="1">
        <f t="array" ref="D76:D77">TRANSPOSE('[2]G 04'!$L$35:$M$35)</f>
        <v>204026</v>
      </c>
      <c r="E76" s="5">
        <f t="shared" ref="E76" si="70">-D76</f>
        <v>-204026</v>
      </c>
    </row>
    <row r="77" spans="1:5">
      <c r="A77">
        <v>2016</v>
      </c>
      <c r="B77" t="s">
        <v>18</v>
      </c>
      <c r="C77" t="s">
        <v>26</v>
      </c>
      <c r="D77">
        <v>256529</v>
      </c>
      <c r="E77" s="5">
        <f t="shared" ref="E77" si="71">D77</f>
        <v>256529</v>
      </c>
    </row>
    <row r="78" spans="1:5">
      <c r="A78">
        <v>2016</v>
      </c>
      <c r="B78" t="s">
        <v>19</v>
      </c>
      <c r="C78" t="s">
        <v>25</v>
      </c>
      <c r="D78" cm="1">
        <f t="array" ref="D78:D79">TRANSPOSE('[2]G 04'!$L$36:$M$36)</f>
        <v>123502</v>
      </c>
      <c r="E78" s="5">
        <f t="shared" ref="E78" si="72">-D78</f>
        <v>-123502</v>
      </c>
    </row>
    <row r="79" spans="1:5">
      <c r="A79">
        <v>2016</v>
      </c>
      <c r="B79" t="s">
        <v>19</v>
      </c>
      <c r="C79" t="s">
        <v>26</v>
      </c>
      <c r="D79">
        <v>185463</v>
      </c>
      <c r="E79" s="5">
        <f t="shared" ref="E79" si="73">D79</f>
        <v>185463</v>
      </c>
    </row>
    <row r="80" spans="1:5">
      <c r="A80">
        <v>2016</v>
      </c>
      <c r="B80" t="s">
        <v>20</v>
      </c>
      <c r="C80" t="s">
        <v>25</v>
      </c>
      <c r="D80" cm="1">
        <f t="array" ref="D80:D81">TRANSPOSE('[2]G 04'!$L$37:$M$37)</f>
        <v>46828</v>
      </c>
      <c r="E80" s="5">
        <f t="shared" ref="E80" si="74">-D80</f>
        <v>-46828</v>
      </c>
    </row>
    <row r="81" spans="1:5">
      <c r="A81">
        <v>2016</v>
      </c>
      <c r="B81" t="s">
        <v>20</v>
      </c>
      <c r="C81" t="s">
        <v>26</v>
      </c>
      <c r="D81">
        <v>93570</v>
      </c>
      <c r="E81" s="5">
        <f t="shared" ref="E81" si="75">D81</f>
        <v>93570</v>
      </c>
    </row>
    <row r="82" spans="1:5">
      <c r="A82">
        <v>2016</v>
      </c>
      <c r="B82" t="s">
        <v>21</v>
      </c>
      <c r="C82" t="s">
        <v>25</v>
      </c>
      <c r="D82" cm="1">
        <f t="array" ref="D82:D83">TRANSPOSE('[2]G 04'!$L$38:$M$38)</f>
        <v>9244</v>
      </c>
      <c r="E82" s="5">
        <f t="shared" ref="E82" si="76">-D82</f>
        <v>-9244</v>
      </c>
    </row>
    <row r="83" spans="1:5">
      <c r="A83">
        <v>2016</v>
      </c>
      <c r="B83" t="s">
        <v>21</v>
      </c>
      <c r="C83" t="s">
        <v>26</v>
      </c>
      <c r="D83">
        <v>24672</v>
      </c>
      <c r="E83" s="5">
        <f t="shared" ref="E83" si="77">D83</f>
        <v>24672</v>
      </c>
    </row>
    <row r="84" spans="1:5">
      <c r="A84">
        <v>2016</v>
      </c>
      <c r="B84" t="s">
        <v>4</v>
      </c>
      <c r="C84" t="s">
        <v>25</v>
      </c>
      <c r="D84" cm="1">
        <f t="array" ref="D84:D85">TRANSPOSE('[2]G 04'!$L$39:$M$39)</f>
        <v>777</v>
      </c>
      <c r="E84" s="5">
        <f t="shared" ref="E84" si="78">-D84</f>
        <v>-777</v>
      </c>
    </row>
    <row r="85" spans="1:5">
      <c r="A85">
        <v>2016</v>
      </c>
      <c r="B85" t="s">
        <v>4</v>
      </c>
      <c r="C85" t="s">
        <v>26</v>
      </c>
      <c r="D85">
        <v>2788</v>
      </c>
      <c r="E85" s="5">
        <f t="shared" ref="E85" si="79">D85</f>
        <v>2788</v>
      </c>
    </row>
    <row r="86" spans="1:5">
      <c r="A86">
        <v>2021</v>
      </c>
      <c r="B86" s="1" t="s">
        <v>1</v>
      </c>
      <c r="C86" t="s">
        <v>25</v>
      </c>
      <c r="D86" s="5" cm="1">
        <f t="array" ref="D86:D87">TRANSPOSE([3]G04!$B$15:$C$15)</f>
        <v>752557</v>
      </c>
      <c r="E86" s="5">
        <f t="shared" ref="E86" si="80">-D86</f>
        <v>-752557</v>
      </c>
    </row>
    <row r="87" spans="1:5">
      <c r="A87">
        <v>2021</v>
      </c>
      <c r="B87" s="1" t="s">
        <v>1</v>
      </c>
      <c r="C87" t="s">
        <v>26</v>
      </c>
      <c r="D87" s="6">
        <v>711258</v>
      </c>
      <c r="E87" s="5">
        <f t="shared" ref="E87" si="81">D87</f>
        <v>711258</v>
      </c>
    </row>
    <row r="88" spans="1:5">
      <c r="A88">
        <v>2021</v>
      </c>
      <c r="B88" t="s">
        <v>2</v>
      </c>
      <c r="C88" t="s">
        <v>25</v>
      </c>
      <c r="D88" s="5" cm="1">
        <f t="array" ref="D88:D89">TRANSPOSE([3]G04!$B$21:$C$21)</f>
        <v>814704</v>
      </c>
      <c r="E88" s="5">
        <f t="shared" ref="E88" si="82">-D88</f>
        <v>-814704</v>
      </c>
    </row>
    <row r="89" spans="1:5">
      <c r="A89">
        <v>2021</v>
      </c>
      <c r="B89" t="s">
        <v>2</v>
      </c>
      <c r="C89" t="s">
        <v>26</v>
      </c>
      <c r="D89" s="5">
        <v>771436</v>
      </c>
      <c r="E89" s="5">
        <f t="shared" ref="E89" si="83">D89</f>
        <v>771436</v>
      </c>
    </row>
    <row r="90" spans="1:5">
      <c r="A90">
        <v>2021</v>
      </c>
      <c r="B90" t="s">
        <v>3</v>
      </c>
      <c r="C90" t="s">
        <v>25</v>
      </c>
      <c r="D90" cm="1">
        <f t="array" ref="D90:D91">TRANSPOSE([3]G04!$B$27:$C$27)</f>
        <v>816592</v>
      </c>
      <c r="E90" s="5">
        <f t="shared" ref="E90" si="84">-D90</f>
        <v>-816592</v>
      </c>
    </row>
    <row r="91" spans="1:5">
      <c r="A91">
        <v>2021</v>
      </c>
      <c r="B91" t="s">
        <v>3</v>
      </c>
      <c r="C91" t="s">
        <v>26</v>
      </c>
      <c r="D91">
        <v>771460</v>
      </c>
      <c r="E91" s="5">
        <f t="shared" ref="E91" si="85">D91</f>
        <v>771460</v>
      </c>
    </row>
    <row r="92" spans="1:5">
      <c r="A92">
        <v>2021</v>
      </c>
      <c r="B92" t="s">
        <v>5</v>
      </c>
      <c r="C92" t="s">
        <v>25</v>
      </c>
      <c r="D92" cm="1">
        <f t="array" ref="D92:D93">TRANSPOSE([3]G04!$B$33:$C$33)</f>
        <v>749330</v>
      </c>
      <c r="E92" s="5">
        <f t="shared" ref="E92" si="86">-D92</f>
        <v>-749330</v>
      </c>
    </row>
    <row r="93" spans="1:5">
      <c r="A93">
        <v>2021</v>
      </c>
      <c r="B93" t="s">
        <v>5</v>
      </c>
      <c r="C93" t="s">
        <v>26</v>
      </c>
      <c r="D93">
        <v>708485</v>
      </c>
      <c r="E93" s="5">
        <f t="shared" ref="E93" si="87">D93</f>
        <v>708485</v>
      </c>
    </row>
    <row r="94" spans="1:5">
      <c r="A94">
        <v>2021</v>
      </c>
      <c r="B94" t="s">
        <v>6</v>
      </c>
      <c r="C94" t="s">
        <v>25</v>
      </c>
      <c r="D94" cm="1">
        <f t="array" ref="D94:D95">TRANSPOSE([3]G04!$B$39:$C$39)</f>
        <v>806829</v>
      </c>
      <c r="E94" s="5">
        <f t="shared" ref="E94" si="88">-D94</f>
        <v>-806829</v>
      </c>
    </row>
    <row r="95" spans="1:5">
      <c r="A95">
        <v>2021</v>
      </c>
      <c r="B95" t="s">
        <v>6</v>
      </c>
      <c r="C95" t="s">
        <v>26</v>
      </c>
      <c r="D95">
        <v>772711</v>
      </c>
      <c r="E95" s="5">
        <f t="shared" ref="E95" si="89">D95</f>
        <v>772711</v>
      </c>
    </row>
    <row r="96" spans="1:5">
      <c r="A96">
        <v>2021</v>
      </c>
      <c r="B96" t="s">
        <v>7</v>
      </c>
      <c r="C96" t="s">
        <v>25</v>
      </c>
      <c r="D96" cm="1">
        <f t="array" ref="D96:D97">TRANSPOSE([3]G04!$B$45:$C$45)</f>
        <v>886836</v>
      </c>
      <c r="E96" s="5">
        <f t="shared" ref="E96" si="90">-D96</f>
        <v>-886836</v>
      </c>
    </row>
    <row r="97" spans="1:5">
      <c r="A97">
        <v>2021</v>
      </c>
      <c r="B97" t="s">
        <v>7</v>
      </c>
      <c r="C97" t="s">
        <v>26</v>
      </c>
      <c r="D97">
        <v>884837</v>
      </c>
      <c r="E97" s="5">
        <f t="shared" ref="E97" si="91">D97</f>
        <v>884837</v>
      </c>
    </row>
    <row r="98" spans="1:5">
      <c r="A98">
        <v>2021</v>
      </c>
      <c r="B98" t="s">
        <v>8</v>
      </c>
      <c r="C98" t="s">
        <v>25</v>
      </c>
      <c r="D98" cm="1">
        <f t="array" ref="D98:D99">TRANSPOSE([3]G04!$G$15:$H$15)</f>
        <v>904395</v>
      </c>
      <c r="E98" s="5">
        <f t="shared" ref="E98" si="92">-D98</f>
        <v>-904395</v>
      </c>
    </row>
    <row r="99" spans="1:5">
      <c r="A99">
        <v>2021</v>
      </c>
      <c r="B99" t="s">
        <v>8</v>
      </c>
      <c r="C99" t="s">
        <v>26</v>
      </c>
      <c r="D99">
        <v>948691</v>
      </c>
      <c r="E99" s="5">
        <f t="shared" ref="E99" si="93">D99</f>
        <v>948691</v>
      </c>
    </row>
    <row r="100" spans="1:5">
      <c r="A100">
        <v>2021</v>
      </c>
      <c r="B100" t="s">
        <v>9</v>
      </c>
      <c r="C100" t="s">
        <v>25</v>
      </c>
      <c r="D100" cm="1">
        <f t="array" ref="D100:D101">TRANSPOSE([3]G04!$G$21:$H$21)</f>
        <v>901697</v>
      </c>
      <c r="E100" s="5">
        <f t="shared" ref="E100" si="94">-D100</f>
        <v>-901697</v>
      </c>
    </row>
    <row r="101" spans="1:5">
      <c r="A101">
        <v>2021</v>
      </c>
      <c r="B101" t="s">
        <v>9</v>
      </c>
      <c r="C101" t="s">
        <v>26</v>
      </c>
      <c r="D101">
        <v>937130</v>
      </c>
      <c r="E101" s="5">
        <f t="shared" ref="E101" si="95">D101</f>
        <v>937130</v>
      </c>
    </row>
    <row r="102" spans="1:5">
      <c r="A102">
        <v>2021</v>
      </c>
      <c r="B102" t="s">
        <v>10</v>
      </c>
      <c r="C102" t="s">
        <v>25</v>
      </c>
      <c r="D102" cm="1">
        <f t="array" ref="D102:D103">TRANSPOSE([3]G04!$G$27:$H$27)</f>
        <v>814410</v>
      </c>
      <c r="E102" s="5">
        <f t="shared" ref="E102" si="96">-D102</f>
        <v>-814410</v>
      </c>
    </row>
    <row r="103" spans="1:5">
      <c r="A103">
        <v>2021</v>
      </c>
      <c r="B103" t="s">
        <v>10</v>
      </c>
      <c r="C103" t="s">
        <v>26</v>
      </c>
      <c r="D103">
        <v>834435</v>
      </c>
      <c r="E103" s="5">
        <f t="shared" ref="E103" si="97">D103</f>
        <v>834435</v>
      </c>
    </row>
    <row r="104" spans="1:5">
      <c r="A104">
        <v>2021</v>
      </c>
      <c r="B104" t="s">
        <v>11</v>
      </c>
      <c r="C104" t="s">
        <v>25</v>
      </c>
      <c r="D104" cm="1">
        <f t="array" ref="D104:D105">TRANSPOSE([3]G04!$G$33:$H$33)</f>
        <v>802516</v>
      </c>
      <c r="E104" s="5">
        <f t="shared" ref="E104" si="98">-D104</f>
        <v>-802516</v>
      </c>
    </row>
    <row r="105" spans="1:5">
      <c r="A105">
        <v>2021</v>
      </c>
      <c r="B105" t="s">
        <v>11</v>
      </c>
      <c r="C105" t="s">
        <v>26</v>
      </c>
      <c r="D105">
        <v>833442</v>
      </c>
      <c r="E105" s="5">
        <f t="shared" ref="E105" si="99">D105</f>
        <v>833442</v>
      </c>
    </row>
    <row r="106" spans="1:5">
      <c r="A106">
        <v>2021</v>
      </c>
      <c r="B106" t="s">
        <v>12</v>
      </c>
      <c r="C106" t="s">
        <v>25</v>
      </c>
      <c r="D106" cm="1">
        <f t="array" ref="D106:D107">TRANSPOSE([3]G04!$G$39:$H$39)</f>
        <v>787164</v>
      </c>
      <c r="E106" s="5">
        <f t="shared" ref="E106" si="100">-D106</f>
        <v>-787164</v>
      </c>
    </row>
    <row r="107" spans="1:5">
      <c r="A107">
        <v>2021</v>
      </c>
      <c r="B107" t="s">
        <v>12</v>
      </c>
      <c r="C107" t="s">
        <v>26</v>
      </c>
      <c r="D107">
        <v>823781</v>
      </c>
      <c r="E107" s="5">
        <f t="shared" ref="E107" si="101">D107</f>
        <v>823781</v>
      </c>
    </row>
    <row r="108" spans="1:5">
      <c r="A108">
        <v>2021</v>
      </c>
      <c r="B108" t="s">
        <v>13</v>
      </c>
      <c r="C108" t="s">
        <v>25</v>
      </c>
      <c r="D108" cm="1">
        <f t="array" ref="D108:D109">TRANSPOSE([3]G04!$G$45:$H$45)</f>
        <v>754242</v>
      </c>
      <c r="E108" s="5">
        <f t="shared" ref="E108" si="102">-D108</f>
        <v>-754242</v>
      </c>
    </row>
    <row r="109" spans="1:5">
      <c r="A109">
        <v>2021</v>
      </c>
      <c r="B109" t="s">
        <v>13</v>
      </c>
      <c r="C109" t="s">
        <v>26</v>
      </c>
      <c r="D109">
        <v>787674</v>
      </c>
      <c r="E109" s="5">
        <f t="shared" ref="E109" si="103">D109</f>
        <v>787674</v>
      </c>
    </row>
    <row r="110" spans="1:5">
      <c r="A110">
        <v>2021</v>
      </c>
      <c r="B110" t="s">
        <v>14</v>
      </c>
      <c r="C110" t="s">
        <v>25</v>
      </c>
      <c r="D110" cm="1">
        <f t="array" ref="D110:D111">TRANSPOSE([3]G04!$L$15:$M$15)</f>
        <v>711159</v>
      </c>
      <c r="E110" s="5">
        <f t="shared" ref="E110" si="104">-D110</f>
        <v>-711159</v>
      </c>
    </row>
    <row r="111" spans="1:5">
      <c r="A111">
        <v>2021</v>
      </c>
      <c r="B111" t="s">
        <v>14</v>
      </c>
      <c r="C111" t="s">
        <v>26</v>
      </c>
      <c r="D111">
        <v>756943</v>
      </c>
      <c r="E111" s="5">
        <f t="shared" ref="E111" si="105">D111</f>
        <v>756943</v>
      </c>
    </row>
    <row r="112" spans="1:5">
      <c r="A112">
        <v>2021</v>
      </c>
      <c r="B112" t="s">
        <v>15</v>
      </c>
      <c r="C112" t="s">
        <v>25</v>
      </c>
      <c r="D112" cm="1">
        <f t="array" ref="D112:D113">TRANSPOSE([3]G04!$L$21:$M$21)</f>
        <v>625898</v>
      </c>
      <c r="E112" s="5">
        <f t="shared" ref="E112" si="106">-D112</f>
        <v>-625898</v>
      </c>
    </row>
    <row r="113" spans="1:5">
      <c r="A113">
        <v>2021</v>
      </c>
      <c r="B113" t="s">
        <v>15</v>
      </c>
      <c r="C113" t="s">
        <v>26</v>
      </c>
      <c r="D113">
        <v>672561</v>
      </c>
      <c r="E113" s="5">
        <f t="shared" ref="E113" si="107">D113</f>
        <v>672561</v>
      </c>
    </row>
    <row r="114" spans="1:5">
      <c r="A114">
        <v>2021</v>
      </c>
      <c r="B114" t="s">
        <v>16</v>
      </c>
      <c r="C114" t="s">
        <v>25</v>
      </c>
      <c r="D114" cm="1">
        <f t="array" ref="D114:D115">TRANSPOSE([3]G04!$L$27:$M$27)</f>
        <v>561275</v>
      </c>
      <c r="E114" s="5">
        <f t="shared" ref="E114" si="108">-D114</f>
        <v>-561275</v>
      </c>
    </row>
    <row r="115" spans="1:5">
      <c r="A115">
        <v>2021</v>
      </c>
      <c r="B115" t="s">
        <v>16</v>
      </c>
      <c r="C115" t="s">
        <v>26</v>
      </c>
      <c r="D115">
        <v>599493</v>
      </c>
      <c r="E115" s="5">
        <f t="shared" ref="E115" si="109">D115</f>
        <v>599493</v>
      </c>
    </row>
    <row r="116" spans="1:5">
      <c r="A116">
        <v>2021</v>
      </c>
      <c r="B116" t="s">
        <v>17</v>
      </c>
      <c r="C116" t="s">
        <v>25</v>
      </c>
      <c r="D116" cm="1">
        <f t="array" ref="D116:D117">TRANSPOSE([3]G04!$L$33:$M$33)</f>
        <v>392637</v>
      </c>
      <c r="E116" s="5">
        <f t="shared" ref="E116" si="110">-D116</f>
        <v>-392637</v>
      </c>
    </row>
    <row r="117" spans="1:5">
      <c r="A117">
        <v>2021</v>
      </c>
      <c r="B117" t="s">
        <v>17</v>
      </c>
      <c r="C117" t="s">
        <v>26</v>
      </c>
      <c r="D117">
        <v>429281</v>
      </c>
      <c r="E117" s="5">
        <f t="shared" ref="E117" si="111">D117</f>
        <v>429281</v>
      </c>
    </row>
    <row r="118" spans="1:5">
      <c r="A118">
        <v>2021</v>
      </c>
      <c r="B118" t="s">
        <v>18</v>
      </c>
      <c r="C118" t="s">
        <v>25</v>
      </c>
      <c r="D118" cm="1">
        <f t="array" ref="D118:D119">TRANSPOSE([3]G04!$L$34:$M$34)</f>
        <v>252476</v>
      </c>
      <c r="E118" s="5">
        <f t="shared" ref="E118" si="112">-D118</f>
        <v>-252476</v>
      </c>
    </row>
    <row r="119" spans="1:5">
      <c r="A119">
        <v>2021</v>
      </c>
      <c r="B119" t="s">
        <v>18</v>
      </c>
      <c r="C119" t="s">
        <v>26</v>
      </c>
      <c r="D119">
        <v>302129</v>
      </c>
      <c r="E119" s="5">
        <f t="shared" ref="E119" si="113">D119</f>
        <v>302129</v>
      </c>
    </row>
    <row r="120" spans="1:5">
      <c r="A120">
        <v>2021</v>
      </c>
      <c r="B120" t="s">
        <v>19</v>
      </c>
      <c r="C120" t="s">
        <v>25</v>
      </c>
      <c r="D120" cm="1">
        <f t="array" ref="D120:D121">TRANSPOSE([3]G04!$L$35:$M$35)</f>
        <v>136936</v>
      </c>
      <c r="E120" s="5">
        <f t="shared" ref="E120" si="114">-D120</f>
        <v>-136936</v>
      </c>
    </row>
    <row r="121" spans="1:5">
      <c r="A121">
        <v>2021</v>
      </c>
      <c r="B121" t="s">
        <v>19</v>
      </c>
      <c r="C121" t="s">
        <v>26</v>
      </c>
      <c r="D121">
        <v>191464</v>
      </c>
      <c r="E121" s="5">
        <f t="shared" ref="E121" si="115">D121</f>
        <v>191464</v>
      </c>
    </row>
    <row r="122" spans="1:5">
      <c r="A122">
        <v>2021</v>
      </c>
      <c r="B122" t="s">
        <v>20</v>
      </c>
      <c r="C122" t="s">
        <v>25</v>
      </c>
      <c r="D122" cm="1">
        <f t="array" ref="D122:D123">TRANSPOSE([3]G04!$L$36:$M$36)</f>
        <v>59159</v>
      </c>
      <c r="E122" s="5">
        <f t="shared" ref="E122" si="116">-D122</f>
        <v>-59159</v>
      </c>
    </row>
    <row r="123" spans="1:5">
      <c r="A123">
        <v>2021</v>
      </c>
      <c r="B123" t="s">
        <v>20</v>
      </c>
      <c r="C123" t="s">
        <v>26</v>
      </c>
      <c r="D123">
        <v>104199</v>
      </c>
      <c r="E123" s="5">
        <f t="shared" ref="E123" si="117">D123</f>
        <v>104199</v>
      </c>
    </row>
    <row r="124" spans="1:5">
      <c r="A124">
        <v>2021</v>
      </c>
      <c r="B124" t="s">
        <v>21</v>
      </c>
      <c r="C124" t="s">
        <v>25</v>
      </c>
      <c r="D124" cm="1">
        <f t="array" ref="D124:D125">TRANSPOSE([3]G04!$L$37:$M$37)</f>
        <v>13179</v>
      </c>
      <c r="E124" s="5">
        <f t="shared" ref="E124" si="118">-D124</f>
        <v>-13179</v>
      </c>
    </row>
    <row r="125" spans="1:5">
      <c r="A125">
        <v>2021</v>
      </c>
      <c r="B125" t="s">
        <v>21</v>
      </c>
      <c r="C125" t="s">
        <v>26</v>
      </c>
      <c r="D125">
        <v>31859</v>
      </c>
      <c r="E125" s="5">
        <f t="shared" ref="E125" si="119">D125</f>
        <v>31859</v>
      </c>
    </row>
    <row r="126" spans="1:5">
      <c r="A126">
        <v>2021</v>
      </c>
      <c r="B126" t="s">
        <v>4</v>
      </c>
      <c r="C126" t="s">
        <v>25</v>
      </c>
      <c r="D126" cm="1">
        <f t="array" ref="D126:D127">TRANSPOSE([3]G04!$L$38:$M$38)</f>
        <v>1165</v>
      </c>
      <c r="E126" s="5">
        <f t="shared" ref="E126" si="120">-D126</f>
        <v>-1165</v>
      </c>
    </row>
    <row r="127" spans="1:5">
      <c r="A127">
        <v>2021</v>
      </c>
      <c r="B127" t="s">
        <v>4</v>
      </c>
      <c r="C127" t="s">
        <v>26</v>
      </c>
      <c r="D127">
        <v>4384</v>
      </c>
      <c r="E127" s="5">
        <f t="shared" ref="E127" si="121">D127</f>
        <v>4384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42A19-AE48-47FB-BAF2-9FFC9ADC09F0}">
  <dimension ref="A1:E127"/>
  <sheetViews>
    <sheetView tabSelected="1" topLeftCell="A7" workbookViewId="0">
      <selection activeCell="E4" sqref="E4"/>
    </sheetView>
  </sheetViews>
  <sheetFormatPr defaultRowHeight="14.4"/>
  <sheetData>
    <row r="1" spans="1:5">
      <c r="A1" t="s">
        <v>22</v>
      </c>
      <c r="B1" t="s">
        <v>23</v>
      </c>
      <c r="C1" t="s">
        <v>0</v>
      </c>
      <c r="D1" t="s">
        <v>24</v>
      </c>
    </row>
    <row r="2" spans="1:5">
      <c r="A2">
        <v>2011</v>
      </c>
      <c r="B2" t="s">
        <v>1</v>
      </c>
      <c r="C2" t="s">
        <v>25</v>
      </c>
      <c r="D2">
        <v>729968</v>
      </c>
      <c r="E2">
        <v>-729968</v>
      </c>
    </row>
    <row r="3" spans="1:5">
      <c r="A3">
        <v>2011</v>
      </c>
      <c r="B3" t="s">
        <v>1</v>
      </c>
      <c r="C3" t="s">
        <v>26</v>
      </c>
      <c r="D3">
        <v>691080</v>
      </c>
      <c r="E3">
        <v>691080</v>
      </c>
    </row>
    <row r="4" spans="1:5">
      <c r="A4">
        <v>2011</v>
      </c>
      <c r="B4" t="s">
        <v>2</v>
      </c>
      <c r="C4" t="s">
        <v>25</v>
      </c>
      <c r="D4">
        <v>694561</v>
      </c>
      <c r="E4">
        <v>-694561</v>
      </c>
    </row>
    <row r="5" spans="1:5">
      <c r="A5">
        <v>2011</v>
      </c>
      <c r="B5" t="s">
        <v>2</v>
      </c>
      <c r="C5" t="s">
        <v>26</v>
      </c>
      <c r="D5">
        <v>657360</v>
      </c>
      <c r="E5">
        <v>657360</v>
      </c>
    </row>
    <row r="6" spans="1:5">
      <c r="A6">
        <v>2011</v>
      </c>
      <c r="B6" t="s">
        <v>3</v>
      </c>
      <c r="C6" t="s">
        <v>25</v>
      </c>
      <c r="D6">
        <v>703307</v>
      </c>
      <c r="E6">
        <v>-703307</v>
      </c>
    </row>
    <row r="7" spans="1:5">
      <c r="A7">
        <v>2011</v>
      </c>
      <c r="B7" t="s">
        <v>3</v>
      </c>
      <c r="C7" t="s">
        <v>26</v>
      </c>
      <c r="D7">
        <v>667748</v>
      </c>
      <c r="E7">
        <v>667748</v>
      </c>
    </row>
    <row r="8" spans="1:5">
      <c r="A8">
        <v>2011</v>
      </c>
      <c r="B8" t="s">
        <v>5</v>
      </c>
      <c r="C8" t="s">
        <v>25</v>
      </c>
      <c r="D8">
        <v>722379</v>
      </c>
      <c r="E8">
        <v>-722379</v>
      </c>
    </row>
    <row r="9" spans="1:5">
      <c r="A9">
        <v>2011</v>
      </c>
      <c r="B9" t="s">
        <v>5</v>
      </c>
      <c r="C9" t="s">
        <v>26</v>
      </c>
      <c r="D9">
        <v>683419</v>
      </c>
      <c r="E9">
        <v>683419</v>
      </c>
    </row>
    <row r="10" spans="1:5">
      <c r="A10">
        <v>2011</v>
      </c>
      <c r="B10" t="s">
        <v>6</v>
      </c>
      <c r="C10" t="s">
        <v>25</v>
      </c>
      <c r="D10">
        <v>741122</v>
      </c>
      <c r="E10">
        <v>-741122</v>
      </c>
    </row>
    <row r="11" spans="1:5">
      <c r="A11">
        <v>2011</v>
      </c>
      <c r="B11" t="s">
        <v>6</v>
      </c>
      <c r="C11" t="s">
        <v>26</v>
      </c>
      <c r="D11">
        <v>719555</v>
      </c>
      <c r="E11">
        <v>719555</v>
      </c>
    </row>
    <row r="12" spans="1:5">
      <c r="A12">
        <v>2011</v>
      </c>
      <c r="B12" t="s">
        <v>7</v>
      </c>
      <c r="C12" t="s">
        <v>25</v>
      </c>
      <c r="D12">
        <v>754465</v>
      </c>
      <c r="E12">
        <v>-754465</v>
      </c>
    </row>
    <row r="13" spans="1:5">
      <c r="A13">
        <v>2011</v>
      </c>
      <c r="B13" t="s">
        <v>7</v>
      </c>
      <c r="C13" t="s">
        <v>26</v>
      </c>
      <c r="D13">
        <v>758770</v>
      </c>
      <c r="E13">
        <v>758770</v>
      </c>
    </row>
    <row r="14" spans="1:5">
      <c r="A14">
        <v>2011</v>
      </c>
      <c r="B14" t="s">
        <v>8</v>
      </c>
      <c r="C14" t="s">
        <v>25</v>
      </c>
      <c r="D14">
        <v>719654</v>
      </c>
      <c r="E14">
        <v>-719654</v>
      </c>
    </row>
    <row r="15" spans="1:5">
      <c r="A15">
        <v>2011</v>
      </c>
      <c r="B15" t="s">
        <v>8</v>
      </c>
      <c r="C15" t="s">
        <v>26</v>
      </c>
      <c r="D15">
        <v>734121</v>
      </c>
      <c r="E15">
        <v>734121</v>
      </c>
    </row>
    <row r="16" spans="1:5">
      <c r="A16">
        <v>2011</v>
      </c>
      <c r="B16" t="s">
        <v>9</v>
      </c>
      <c r="C16" t="s">
        <v>25</v>
      </c>
      <c r="D16">
        <v>747117</v>
      </c>
      <c r="E16">
        <v>-747117</v>
      </c>
    </row>
    <row r="17" spans="1:5">
      <c r="A17">
        <v>2011</v>
      </c>
      <c r="B17" t="s">
        <v>9</v>
      </c>
      <c r="C17" t="s">
        <v>26</v>
      </c>
      <c r="D17">
        <v>773021</v>
      </c>
      <c r="E17">
        <v>773021</v>
      </c>
    </row>
    <row r="18" spans="1:5">
      <c r="A18">
        <v>2011</v>
      </c>
      <c r="B18" t="s">
        <v>10</v>
      </c>
      <c r="C18" t="s">
        <v>25</v>
      </c>
      <c r="D18">
        <v>754571</v>
      </c>
      <c r="E18">
        <v>-754571</v>
      </c>
    </row>
    <row r="19" spans="1:5">
      <c r="A19">
        <v>2011</v>
      </c>
      <c r="B19" t="s">
        <v>10</v>
      </c>
      <c r="C19" t="s">
        <v>26</v>
      </c>
      <c r="D19">
        <v>788308</v>
      </c>
      <c r="E19">
        <v>788308</v>
      </c>
    </row>
    <row r="20" spans="1:5">
      <c r="A20">
        <v>2011</v>
      </c>
      <c r="B20" t="s">
        <v>11</v>
      </c>
      <c r="C20" t="s">
        <v>25</v>
      </c>
      <c r="D20">
        <v>740963</v>
      </c>
      <c r="E20">
        <v>-740963</v>
      </c>
    </row>
    <row r="21" spans="1:5">
      <c r="A21">
        <v>2011</v>
      </c>
      <c r="B21" t="s">
        <v>11</v>
      </c>
      <c r="C21" t="s">
        <v>26</v>
      </c>
      <c r="D21">
        <v>763179</v>
      </c>
      <c r="E21">
        <v>763179</v>
      </c>
    </row>
    <row r="22" spans="1:5">
      <c r="A22">
        <v>2011</v>
      </c>
      <c r="B22" t="s">
        <v>12</v>
      </c>
      <c r="C22" t="s">
        <v>25</v>
      </c>
      <c r="D22">
        <v>711740</v>
      </c>
      <c r="E22">
        <v>-711740</v>
      </c>
    </row>
    <row r="23" spans="1:5">
      <c r="A23">
        <v>2011</v>
      </c>
      <c r="B23" t="s">
        <v>12</v>
      </c>
      <c r="C23" t="s">
        <v>26</v>
      </c>
      <c r="D23">
        <v>735662</v>
      </c>
      <c r="E23">
        <v>735662</v>
      </c>
    </row>
    <row r="24" spans="1:5">
      <c r="A24">
        <v>2011</v>
      </c>
      <c r="B24" t="s">
        <v>13</v>
      </c>
      <c r="C24" t="s">
        <v>25</v>
      </c>
      <c r="D24">
        <v>637841</v>
      </c>
      <c r="E24">
        <v>-637841</v>
      </c>
    </row>
    <row r="25" spans="1:5">
      <c r="A25">
        <v>2011</v>
      </c>
      <c r="B25" t="s">
        <v>13</v>
      </c>
      <c r="C25" t="s">
        <v>26</v>
      </c>
      <c r="D25">
        <v>659405</v>
      </c>
      <c r="E25">
        <v>659405</v>
      </c>
    </row>
    <row r="26" spans="1:5">
      <c r="A26">
        <v>2011</v>
      </c>
      <c r="B26" t="s">
        <v>14</v>
      </c>
      <c r="C26" t="s">
        <v>25</v>
      </c>
      <c r="D26">
        <v>597885</v>
      </c>
      <c r="E26">
        <v>-597885</v>
      </c>
    </row>
    <row r="27" spans="1:5">
      <c r="A27">
        <v>2011</v>
      </c>
      <c r="B27" t="s">
        <v>14</v>
      </c>
      <c r="C27" t="s">
        <v>26</v>
      </c>
      <c r="D27">
        <v>608231</v>
      </c>
      <c r="E27">
        <v>608231</v>
      </c>
    </row>
    <row r="28" spans="1:5">
      <c r="A28">
        <v>2011</v>
      </c>
      <c r="B28" t="s">
        <v>15</v>
      </c>
      <c r="C28" t="s">
        <v>25</v>
      </c>
      <c r="D28">
        <v>455418</v>
      </c>
      <c r="E28">
        <v>-455418</v>
      </c>
    </row>
    <row r="29" spans="1:5">
      <c r="A29">
        <v>2011</v>
      </c>
      <c r="B29" t="s">
        <v>15</v>
      </c>
      <c r="C29" t="s">
        <v>26</v>
      </c>
      <c r="D29">
        <v>463901</v>
      </c>
      <c r="E29">
        <v>463901</v>
      </c>
    </row>
    <row r="30" spans="1:5">
      <c r="A30">
        <v>2011</v>
      </c>
      <c r="B30" t="s">
        <v>16</v>
      </c>
      <c r="C30" t="s">
        <v>25</v>
      </c>
      <c r="D30">
        <v>342690</v>
      </c>
      <c r="E30">
        <v>-342690</v>
      </c>
    </row>
    <row r="31" spans="1:5">
      <c r="A31">
        <v>2011</v>
      </c>
      <c r="B31" t="s">
        <v>16</v>
      </c>
      <c r="C31" t="s">
        <v>26</v>
      </c>
      <c r="D31">
        <v>365398</v>
      </c>
      <c r="E31">
        <v>365398</v>
      </c>
    </row>
    <row r="32" spans="1:5">
      <c r="A32">
        <v>2011</v>
      </c>
      <c r="B32" t="s">
        <v>17</v>
      </c>
      <c r="C32" t="s">
        <v>25</v>
      </c>
      <c r="D32">
        <v>252928</v>
      </c>
      <c r="E32">
        <v>-252928</v>
      </c>
    </row>
    <row r="33" spans="1:5">
      <c r="A33">
        <v>2011</v>
      </c>
      <c r="B33" t="s">
        <v>17</v>
      </c>
      <c r="C33" t="s">
        <v>26</v>
      </c>
      <c r="D33">
        <v>292333</v>
      </c>
      <c r="E33">
        <v>292333</v>
      </c>
    </row>
    <row r="34" spans="1:5">
      <c r="A34">
        <v>2011</v>
      </c>
      <c r="B34" t="s">
        <v>18</v>
      </c>
      <c r="C34" t="s">
        <v>25</v>
      </c>
      <c r="D34">
        <v>188241</v>
      </c>
      <c r="E34">
        <v>-188241</v>
      </c>
    </row>
    <row r="35" spans="1:5">
      <c r="A35">
        <v>2011</v>
      </c>
      <c r="B35" t="s">
        <v>18</v>
      </c>
      <c r="C35" t="s">
        <v>26</v>
      </c>
      <c r="D35">
        <v>248695</v>
      </c>
      <c r="E35">
        <v>248695</v>
      </c>
    </row>
    <row r="36" spans="1:5">
      <c r="A36">
        <v>2011</v>
      </c>
      <c r="B36" t="s">
        <v>19</v>
      </c>
      <c r="C36" t="s">
        <v>25</v>
      </c>
      <c r="D36">
        <v>100804</v>
      </c>
      <c r="E36">
        <v>-100804</v>
      </c>
    </row>
    <row r="37" spans="1:5">
      <c r="A37">
        <v>2011</v>
      </c>
      <c r="B37" t="s">
        <v>19</v>
      </c>
      <c r="C37" t="s">
        <v>26</v>
      </c>
      <c r="D37">
        <v>169994</v>
      </c>
      <c r="E37">
        <v>169994</v>
      </c>
    </row>
    <row r="38" spans="1:5">
      <c r="A38">
        <v>2011</v>
      </c>
      <c r="B38" t="s">
        <v>20</v>
      </c>
      <c r="C38" t="s">
        <v>25</v>
      </c>
      <c r="D38">
        <v>31793</v>
      </c>
      <c r="E38">
        <v>-31793</v>
      </c>
    </row>
    <row r="39" spans="1:5">
      <c r="A39">
        <v>2011</v>
      </c>
      <c r="B39" t="s">
        <v>20</v>
      </c>
      <c r="C39" t="s">
        <v>26</v>
      </c>
      <c r="D39">
        <v>71981</v>
      </c>
      <c r="E39">
        <v>71981</v>
      </c>
    </row>
    <row r="40" spans="1:5">
      <c r="A40">
        <v>2011</v>
      </c>
      <c r="B40" t="s">
        <v>21</v>
      </c>
      <c r="C40" t="s">
        <v>25</v>
      </c>
      <c r="D40">
        <v>5910</v>
      </c>
      <c r="E40">
        <v>-5910</v>
      </c>
    </row>
    <row r="41" spans="1:5">
      <c r="A41">
        <v>2011</v>
      </c>
      <c r="B41" t="s">
        <v>21</v>
      </c>
      <c r="C41" t="s">
        <v>26</v>
      </c>
      <c r="D41">
        <v>18925</v>
      </c>
      <c r="E41">
        <v>18925</v>
      </c>
    </row>
    <row r="42" spans="1:5">
      <c r="A42">
        <v>2011</v>
      </c>
      <c r="B42" t="s">
        <v>4</v>
      </c>
      <c r="C42" t="s">
        <v>25</v>
      </c>
      <c r="D42">
        <v>657</v>
      </c>
      <c r="E42">
        <v>-657</v>
      </c>
    </row>
    <row r="43" spans="1:5">
      <c r="A43">
        <v>2011</v>
      </c>
      <c r="B43" t="s">
        <v>4</v>
      </c>
      <c r="C43" t="s">
        <v>26</v>
      </c>
      <c r="D43">
        <v>2619</v>
      </c>
      <c r="E43">
        <v>2619</v>
      </c>
    </row>
    <row r="44" spans="1:5">
      <c r="A44">
        <v>2016</v>
      </c>
      <c r="B44" t="s">
        <v>1</v>
      </c>
      <c r="C44" t="s">
        <v>25</v>
      </c>
      <c r="D44">
        <v>752142</v>
      </c>
      <c r="E44">
        <v>-752142</v>
      </c>
    </row>
    <row r="45" spans="1:5">
      <c r="A45">
        <v>2016</v>
      </c>
      <c r="B45" t="s">
        <v>1</v>
      </c>
      <c r="C45" t="s">
        <v>26</v>
      </c>
      <c r="D45">
        <v>712638</v>
      </c>
      <c r="E45">
        <v>712638</v>
      </c>
    </row>
    <row r="46" spans="1:5">
      <c r="A46">
        <v>2016</v>
      </c>
      <c r="B46" t="s">
        <v>2</v>
      </c>
      <c r="C46" t="s">
        <v>25</v>
      </c>
      <c r="D46">
        <v>771055</v>
      </c>
      <c r="E46">
        <v>-771055</v>
      </c>
    </row>
    <row r="47" spans="1:5">
      <c r="A47">
        <v>2016</v>
      </c>
      <c r="B47" t="s">
        <v>2</v>
      </c>
      <c r="C47" t="s">
        <v>26</v>
      </c>
      <c r="D47">
        <v>731592</v>
      </c>
      <c r="E47">
        <v>731592</v>
      </c>
    </row>
    <row r="48" spans="1:5">
      <c r="A48">
        <v>2016</v>
      </c>
      <c r="B48" t="s">
        <v>3</v>
      </c>
      <c r="C48" t="s">
        <v>25</v>
      </c>
      <c r="D48">
        <v>717629</v>
      </c>
      <c r="E48">
        <v>-717629</v>
      </c>
    </row>
    <row r="49" spans="1:5">
      <c r="A49">
        <v>2016</v>
      </c>
      <c r="B49" t="s">
        <v>3</v>
      </c>
      <c r="C49" t="s">
        <v>26</v>
      </c>
      <c r="D49">
        <v>679553</v>
      </c>
      <c r="E49">
        <v>679553</v>
      </c>
    </row>
    <row r="50" spans="1:5">
      <c r="A50">
        <v>2016</v>
      </c>
      <c r="B50" t="s">
        <v>5</v>
      </c>
      <c r="C50" t="s">
        <v>25</v>
      </c>
      <c r="D50">
        <v>727677</v>
      </c>
      <c r="E50">
        <v>-727677</v>
      </c>
    </row>
    <row r="51" spans="1:5">
      <c r="A51">
        <v>2016</v>
      </c>
      <c r="B51" t="s">
        <v>5</v>
      </c>
      <c r="C51" t="s">
        <v>26</v>
      </c>
      <c r="D51">
        <v>693915</v>
      </c>
      <c r="E51">
        <v>693915</v>
      </c>
    </row>
    <row r="52" spans="1:5">
      <c r="A52">
        <v>2016</v>
      </c>
      <c r="B52" t="s">
        <v>6</v>
      </c>
      <c r="C52" t="s">
        <v>25</v>
      </c>
      <c r="D52">
        <v>795423</v>
      </c>
      <c r="E52">
        <v>-795423</v>
      </c>
    </row>
    <row r="53" spans="1:5">
      <c r="A53">
        <v>2016</v>
      </c>
      <c r="B53" t="s">
        <v>6</v>
      </c>
      <c r="C53" t="s">
        <v>26</v>
      </c>
      <c r="D53">
        <v>771369</v>
      </c>
      <c r="E53">
        <v>771369</v>
      </c>
    </row>
    <row r="54" spans="1:5">
      <c r="A54">
        <v>2016</v>
      </c>
      <c r="B54" t="s">
        <v>7</v>
      </c>
      <c r="C54" t="s">
        <v>25</v>
      </c>
      <c r="D54">
        <v>824084</v>
      </c>
      <c r="E54">
        <v>-824084</v>
      </c>
    </row>
    <row r="55" spans="1:5">
      <c r="A55">
        <v>2016</v>
      </c>
      <c r="B55" t="s">
        <v>7</v>
      </c>
      <c r="C55" t="s">
        <v>26</v>
      </c>
      <c r="D55">
        <v>840525</v>
      </c>
      <c r="E55">
        <v>840525</v>
      </c>
    </row>
    <row r="56" spans="1:5">
      <c r="A56">
        <v>2016</v>
      </c>
      <c r="B56" t="s">
        <v>8</v>
      </c>
      <c r="C56" t="s">
        <v>25</v>
      </c>
      <c r="D56">
        <v>839821</v>
      </c>
      <c r="E56">
        <v>-839821</v>
      </c>
    </row>
    <row r="57" spans="1:5">
      <c r="A57">
        <v>2016</v>
      </c>
      <c r="B57" t="s">
        <v>8</v>
      </c>
      <c r="C57" t="s">
        <v>26</v>
      </c>
      <c r="D57">
        <v>864026</v>
      </c>
      <c r="E57">
        <v>864026</v>
      </c>
    </row>
    <row r="58" spans="1:5">
      <c r="A58">
        <v>2016</v>
      </c>
      <c r="B58" t="s">
        <v>9</v>
      </c>
      <c r="C58" t="s">
        <v>25</v>
      </c>
      <c r="D58">
        <v>773132</v>
      </c>
      <c r="E58">
        <v>-773132</v>
      </c>
    </row>
    <row r="59" spans="1:5">
      <c r="A59">
        <v>2016</v>
      </c>
      <c r="B59" t="s">
        <v>9</v>
      </c>
      <c r="C59" t="s">
        <v>26</v>
      </c>
      <c r="D59">
        <v>788548</v>
      </c>
      <c r="E59">
        <v>788548</v>
      </c>
    </row>
    <row r="60" spans="1:5">
      <c r="A60">
        <v>2016</v>
      </c>
      <c r="B60" t="s">
        <v>10</v>
      </c>
      <c r="C60" t="s">
        <v>25</v>
      </c>
      <c r="D60">
        <v>777702</v>
      </c>
      <c r="E60">
        <v>-777702</v>
      </c>
    </row>
    <row r="61" spans="1:5">
      <c r="A61">
        <v>2016</v>
      </c>
      <c r="B61" t="s">
        <v>10</v>
      </c>
      <c r="C61" t="s">
        <v>26</v>
      </c>
      <c r="D61">
        <v>805551</v>
      </c>
      <c r="E61">
        <v>805551</v>
      </c>
    </row>
    <row r="62" spans="1:5">
      <c r="A62">
        <v>2016</v>
      </c>
      <c r="B62" t="s">
        <v>11</v>
      </c>
      <c r="C62" t="s">
        <v>25</v>
      </c>
      <c r="D62">
        <v>773170</v>
      </c>
      <c r="E62">
        <v>-773170</v>
      </c>
    </row>
    <row r="63" spans="1:5">
      <c r="A63">
        <v>2016</v>
      </c>
      <c r="B63" t="s">
        <v>11</v>
      </c>
      <c r="C63" t="s">
        <v>26</v>
      </c>
      <c r="D63">
        <v>808282</v>
      </c>
      <c r="E63">
        <v>808282</v>
      </c>
    </row>
    <row r="64" spans="1:5">
      <c r="A64">
        <v>2016</v>
      </c>
      <c r="B64" t="s">
        <v>12</v>
      </c>
      <c r="C64" t="s">
        <v>25</v>
      </c>
      <c r="D64">
        <v>748954</v>
      </c>
      <c r="E64">
        <v>-748954</v>
      </c>
    </row>
    <row r="65" spans="1:5">
      <c r="A65">
        <v>2016</v>
      </c>
      <c r="B65" t="s">
        <v>12</v>
      </c>
      <c r="C65" t="s">
        <v>26</v>
      </c>
      <c r="D65">
        <v>774601</v>
      </c>
      <c r="E65">
        <v>774601</v>
      </c>
    </row>
    <row r="66" spans="1:5">
      <c r="A66">
        <v>2016</v>
      </c>
      <c r="B66" t="s">
        <v>13</v>
      </c>
      <c r="C66" t="s">
        <v>25</v>
      </c>
      <c r="D66">
        <v>709115</v>
      </c>
      <c r="E66">
        <v>-709115</v>
      </c>
    </row>
    <row r="67" spans="1:5">
      <c r="A67">
        <v>2016</v>
      </c>
      <c r="B67" t="s">
        <v>13</v>
      </c>
      <c r="C67" t="s">
        <v>26</v>
      </c>
      <c r="D67">
        <v>745214</v>
      </c>
      <c r="E67">
        <v>745214</v>
      </c>
    </row>
    <row r="68" spans="1:5">
      <c r="A68">
        <v>2016</v>
      </c>
      <c r="B68" t="s">
        <v>14</v>
      </c>
      <c r="C68" t="s">
        <v>25</v>
      </c>
      <c r="D68">
        <v>632357</v>
      </c>
      <c r="E68">
        <v>-632357</v>
      </c>
    </row>
    <row r="69" spans="1:5">
      <c r="A69">
        <v>2016</v>
      </c>
      <c r="B69" t="s">
        <v>14</v>
      </c>
      <c r="C69" t="s">
        <v>26</v>
      </c>
      <c r="D69">
        <v>667048</v>
      </c>
      <c r="E69">
        <v>667048</v>
      </c>
    </row>
    <row r="70" spans="1:5">
      <c r="A70">
        <v>2016</v>
      </c>
      <c r="B70" t="s">
        <v>15</v>
      </c>
      <c r="C70" t="s">
        <v>25</v>
      </c>
      <c r="D70">
        <v>581230</v>
      </c>
      <c r="E70">
        <v>-581230</v>
      </c>
    </row>
    <row r="71" spans="1:5">
      <c r="A71">
        <v>2016</v>
      </c>
      <c r="B71" t="s">
        <v>15</v>
      </c>
      <c r="C71" t="s">
        <v>26</v>
      </c>
      <c r="D71">
        <v>607766</v>
      </c>
      <c r="E71">
        <v>607766</v>
      </c>
    </row>
    <row r="72" spans="1:5">
      <c r="A72">
        <v>2016</v>
      </c>
      <c r="B72" t="s">
        <v>16</v>
      </c>
      <c r="C72" t="s">
        <v>25</v>
      </c>
      <c r="D72">
        <v>431325</v>
      </c>
      <c r="E72">
        <v>-431325</v>
      </c>
    </row>
    <row r="73" spans="1:5">
      <c r="A73">
        <v>2016</v>
      </c>
      <c r="B73" t="s">
        <v>16</v>
      </c>
      <c r="C73" t="s">
        <v>26</v>
      </c>
      <c r="D73">
        <v>456390</v>
      </c>
      <c r="E73">
        <v>456390</v>
      </c>
    </row>
    <row r="74" spans="1:5">
      <c r="A74">
        <v>2016</v>
      </c>
      <c r="B74" t="s">
        <v>17</v>
      </c>
      <c r="C74" t="s">
        <v>25</v>
      </c>
      <c r="D74">
        <v>307441</v>
      </c>
      <c r="E74">
        <v>-307441</v>
      </c>
    </row>
    <row r="75" spans="1:5">
      <c r="A75">
        <v>2016</v>
      </c>
      <c r="B75" t="s">
        <v>17</v>
      </c>
      <c r="C75" t="s">
        <v>26</v>
      </c>
      <c r="D75">
        <v>345217</v>
      </c>
      <c r="E75">
        <v>345217</v>
      </c>
    </row>
    <row r="76" spans="1:5">
      <c r="A76">
        <v>2016</v>
      </c>
      <c r="B76" t="s">
        <v>18</v>
      </c>
      <c r="C76" t="s">
        <v>25</v>
      </c>
      <c r="D76">
        <v>204026</v>
      </c>
      <c r="E76">
        <v>-204026</v>
      </c>
    </row>
    <row r="77" spans="1:5">
      <c r="A77">
        <v>2016</v>
      </c>
      <c r="B77" t="s">
        <v>18</v>
      </c>
      <c r="C77" t="s">
        <v>26</v>
      </c>
      <c r="D77">
        <v>256529</v>
      </c>
      <c r="E77">
        <v>256529</v>
      </c>
    </row>
    <row r="78" spans="1:5">
      <c r="A78">
        <v>2016</v>
      </c>
      <c r="B78" t="s">
        <v>19</v>
      </c>
      <c r="C78" t="s">
        <v>25</v>
      </c>
      <c r="D78">
        <v>123502</v>
      </c>
      <c r="E78">
        <v>-123502</v>
      </c>
    </row>
    <row r="79" spans="1:5">
      <c r="A79">
        <v>2016</v>
      </c>
      <c r="B79" t="s">
        <v>19</v>
      </c>
      <c r="C79" t="s">
        <v>26</v>
      </c>
      <c r="D79">
        <v>185463</v>
      </c>
      <c r="E79">
        <v>185463</v>
      </c>
    </row>
    <row r="80" spans="1:5">
      <c r="A80">
        <v>2016</v>
      </c>
      <c r="B80" t="s">
        <v>20</v>
      </c>
      <c r="C80" t="s">
        <v>25</v>
      </c>
      <c r="D80">
        <v>46828</v>
      </c>
      <c r="E80">
        <v>-46828</v>
      </c>
    </row>
    <row r="81" spans="1:5">
      <c r="A81">
        <v>2016</v>
      </c>
      <c r="B81" t="s">
        <v>20</v>
      </c>
      <c r="C81" t="s">
        <v>26</v>
      </c>
      <c r="D81">
        <v>93570</v>
      </c>
      <c r="E81">
        <v>93570</v>
      </c>
    </row>
    <row r="82" spans="1:5">
      <c r="A82">
        <v>2016</v>
      </c>
      <c r="B82" t="s">
        <v>21</v>
      </c>
      <c r="C82" t="s">
        <v>25</v>
      </c>
      <c r="D82">
        <v>9244</v>
      </c>
      <c r="E82">
        <v>-9244</v>
      </c>
    </row>
    <row r="83" spans="1:5">
      <c r="A83">
        <v>2016</v>
      </c>
      <c r="B83" t="s">
        <v>21</v>
      </c>
      <c r="C83" t="s">
        <v>26</v>
      </c>
      <c r="D83">
        <v>24672</v>
      </c>
      <c r="E83">
        <v>24672</v>
      </c>
    </row>
    <row r="84" spans="1:5">
      <c r="A84">
        <v>2016</v>
      </c>
      <c r="B84" t="s">
        <v>4</v>
      </c>
      <c r="C84" t="s">
        <v>25</v>
      </c>
      <c r="D84">
        <v>777</v>
      </c>
      <c r="E84">
        <v>-777</v>
      </c>
    </row>
    <row r="85" spans="1:5">
      <c r="A85">
        <v>2016</v>
      </c>
      <c r="B85" t="s">
        <v>4</v>
      </c>
      <c r="C85" t="s">
        <v>26</v>
      </c>
      <c r="D85">
        <v>2788</v>
      </c>
      <c r="E85">
        <v>2788</v>
      </c>
    </row>
    <row r="86" spans="1:5">
      <c r="A86">
        <v>2021</v>
      </c>
      <c r="B86" t="s">
        <v>1</v>
      </c>
      <c r="C86" t="s">
        <v>25</v>
      </c>
      <c r="D86">
        <v>752557</v>
      </c>
      <c r="E86">
        <v>-752557</v>
      </c>
    </row>
    <row r="87" spans="1:5">
      <c r="A87">
        <v>2021</v>
      </c>
      <c r="B87" t="s">
        <v>1</v>
      </c>
      <c r="C87" t="s">
        <v>26</v>
      </c>
      <c r="D87">
        <v>711258</v>
      </c>
      <c r="E87">
        <v>711258</v>
      </c>
    </row>
    <row r="88" spans="1:5">
      <c r="A88">
        <v>2021</v>
      </c>
      <c r="B88" t="s">
        <v>2</v>
      </c>
      <c r="C88" t="s">
        <v>25</v>
      </c>
      <c r="D88">
        <v>814704</v>
      </c>
      <c r="E88">
        <v>-814704</v>
      </c>
    </row>
    <row r="89" spans="1:5">
      <c r="A89">
        <v>2021</v>
      </c>
      <c r="B89" t="s">
        <v>2</v>
      </c>
      <c r="C89" t="s">
        <v>26</v>
      </c>
      <c r="D89">
        <v>771436</v>
      </c>
      <c r="E89">
        <v>771436</v>
      </c>
    </row>
    <row r="90" spans="1:5">
      <c r="A90">
        <v>2021</v>
      </c>
      <c r="B90" t="s">
        <v>3</v>
      </c>
      <c r="C90" t="s">
        <v>25</v>
      </c>
      <c r="D90">
        <v>816592</v>
      </c>
      <c r="E90">
        <v>-816592</v>
      </c>
    </row>
    <row r="91" spans="1:5">
      <c r="A91">
        <v>2021</v>
      </c>
      <c r="B91" t="s">
        <v>3</v>
      </c>
      <c r="C91" t="s">
        <v>26</v>
      </c>
      <c r="D91">
        <v>771460</v>
      </c>
      <c r="E91">
        <v>771460</v>
      </c>
    </row>
    <row r="92" spans="1:5">
      <c r="A92">
        <v>2021</v>
      </c>
      <c r="B92" t="s">
        <v>5</v>
      </c>
      <c r="C92" t="s">
        <v>25</v>
      </c>
      <c r="D92">
        <v>749330</v>
      </c>
      <c r="E92">
        <v>-749330</v>
      </c>
    </row>
    <row r="93" spans="1:5">
      <c r="A93">
        <v>2021</v>
      </c>
      <c r="B93" t="s">
        <v>5</v>
      </c>
      <c r="C93" t="s">
        <v>26</v>
      </c>
      <c r="D93">
        <v>708485</v>
      </c>
      <c r="E93">
        <v>708485</v>
      </c>
    </row>
    <row r="94" spans="1:5">
      <c r="A94">
        <v>2021</v>
      </c>
      <c r="B94" t="s">
        <v>6</v>
      </c>
      <c r="C94" t="s">
        <v>25</v>
      </c>
      <c r="D94">
        <v>806829</v>
      </c>
      <c r="E94">
        <v>-806829</v>
      </c>
    </row>
    <row r="95" spans="1:5">
      <c r="A95">
        <v>2021</v>
      </c>
      <c r="B95" t="s">
        <v>6</v>
      </c>
      <c r="C95" t="s">
        <v>26</v>
      </c>
      <c r="D95">
        <v>772711</v>
      </c>
      <c r="E95">
        <v>772711</v>
      </c>
    </row>
    <row r="96" spans="1:5">
      <c r="A96">
        <v>2021</v>
      </c>
      <c r="B96" t="s">
        <v>7</v>
      </c>
      <c r="C96" t="s">
        <v>25</v>
      </c>
      <c r="D96">
        <v>886836</v>
      </c>
      <c r="E96">
        <v>-886836</v>
      </c>
    </row>
    <row r="97" spans="1:5">
      <c r="A97">
        <v>2021</v>
      </c>
      <c r="B97" t="s">
        <v>7</v>
      </c>
      <c r="C97" t="s">
        <v>26</v>
      </c>
      <c r="D97">
        <v>884837</v>
      </c>
      <c r="E97">
        <v>884837</v>
      </c>
    </row>
    <row r="98" spans="1:5">
      <c r="A98">
        <v>2021</v>
      </c>
      <c r="B98" t="s">
        <v>8</v>
      </c>
      <c r="C98" t="s">
        <v>25</v>
      </c>
      <c r="D98">
        <v>904395</v>
      </c>
      <c r="E98">
        <v>-904395</v>
      </c>
    </row>
    <row r="99" spans="1:5">
      <c r="A99">
        <v>2021</v>
      </c>
      <c r="B99" t="s">
        <v>8</v>
      </c>
      <c r="C99" t="s">
        <v>26</v>
      </c>
      <c r="D99">
        <v>948691</v>
      </c>
      <c r="E99">
        <v>948691</v>
      </c>
    </row>
    <row r="100" spans="1:5">
      <c r="A100">
        <v>2021</v>
      </c>
      <c r="B100" t="s">
        <v>9</v>
      </c>
      <c r="C100" t="s">
        <v>25</v>
      </c>
      <c r="D100">
        <v>901697</v>
      </c>
      <c r="E100">
        <v>-901697</v>
      </c>
    </row>
    <row r="101" spans="1:5">
      <c r="A101">
        <v>2021</v>
      </c>
      <c r="B101" t="s">
        <v>9</v>
      </c>
      <c r="C101" t="s">
        <v>26</v>
      </c>
      <c r="D101">
        <v>937130</v>
      </c>
      <c r="E101">
        <v>937130</v>
      </c>
    </row>
    <row r="102" spans="1:5">
      <c r="A102">
        <v>2021</v>
      </c>
      <c r="B102" t="s">
        <v>10</v>
      </c>
      <c r="C102" t="s">
        <v>25</v>
      </c>
      <c r="D102">
        <v>814410</v>
      </c>
      <c r="E102">
        <v>-814410</v>
      </c>
    </row>
    <row r="103" spans="1:5">
      <c r="A103">
        <v>2021</v>
      </c>
      <c r="B103" t="s">
        <v>10</v>
      </c>
      <c r="C103" t="s">
        <v>26</v>
      </c>
      <c r="D103">
        <v>834435</v>
      </c>
      <c r="E103">
        <v>834435</v>
      </c>
    </row>
    <row r="104" spans="1:5">
      <c r="A104">
        <v>2021</v>
      </c>
      <c r="B104" t="s">
        <v>11</v>
      </c>
      <c r="C104" t="s">
        <v>25</v>
      </c>
      <c r="D104">
        <v>802516</v>
      </c>
      <c r="E104">
        <v>-802516</v>
      </c>
    </row>
    <row r="105" spans="1:5">
      <c r="A105">
        <v>2021</v>
      </c>
      <c r="B105" t="s">
        <v>11</v>
      </c>
      <c r="C105" t="s">
        <v>26</v>
      </c>
      <c r="D105">
        <v>833442</v>
      </c>
      <c r="E105">
        <v>833442</v>
      </c>
    </row>
    <row r="106" spans="1:5">
      <c r="A106">
        <v>2021</v>
      </c>
      <c r="B106" t="s">
        <v>12</v>
      </c>
      <c r="C106" t="s">
        <v>25</v>
      </c>
      <c r="D106">
        <v>787164</v>
      </c>
      <c r="E106">
        <v>-787164</v>
      </c>
    </row>
    <row r="107" spans="1:5">
      <c r="A107">
        <v>2021</v>
      </c>
      <c r="B107" t="s">
        <v>12</v>
      </c>
      <c r="C107" t="s">
        <v>26</v>
      </c>
      <c r="D107">
        <v>823781</v>
      </c>
      <c r="E107">
        <v>823781</v>
      </c>
    </row>
    <row r="108" spans="1:5">
      <c r="A108">
        <v>2021</v>
      </c>
      <c r="B108" t="s">
        <v>13</v>
      </c>
      <c r="C108" t="s">
        <v>25</v>
      </c>
      <c r="D108">
        <v>754242</v>
      </c>
      <c r="E108">
        <v>-754242</v>
      </c>
    </row>
    <row r="109" spans="1:5">
      <c r="A109">
        <v>2021</v>
      </c>
      <c r="B109" t="s">
        <v>13</v>
      </c>
      <c r="C109" t="s">
        <v>26</v>
      </c>
      <c r="D109">
        <v>787674</v>
      </c>
      <c r="E109">
        <v>787674</v>
      </c>
    </row>
    <row r="110" spans="1:5">
      <c r="A110">
        <v>2021</v>
      </c>
      <c r="B110" t="s">
        <v>14</v>
      </c>
      <c r="C110" t="s">
        <v>25</v>
      </c>
      <c r="D110">
        <v>711159</v>
      </c>
      <c r="E110">
        <v>-711159</v>
      </c>
    </row>
    <row r="111" spans="1:5">
      <c r="A111">
        <v>2021</v>
      </c>
      <c r="B111" t="s">
        <v>14</v>
      </c>
      <c r="C111" t="s">
        <v>26</v>
      </c>
      <c r="D111">
        <v>756943</v>
      </c>
      <c r="E111">
        <v>756943</v>
      </c>
    </row>
    <row r="112" spans="1:5">
      <c r="A112">
        <v>2021</v>
      </c>
      <c r="B112" t="s">
        <v>15</v>
      </c>
      <c r="C112" t="s">
        <v>25</v>
      </c>
      <c r="D112">
        <v>625898</v>
      </c>
      <c r="E112">
        <v>-625898</v>
      </c>
    </row>
    <row r="113" spans="1:5">
      <c r="A113">
        <v>2021</v>
      </c>
      <c r="B113" t="s">
        <v>15</v>
      </c>
      <c r="C113" t="s">
        <v>26</v>
      </c>
      <c r="D113">
        <v>672561</v>
      </c>
      <c r="E113">
        <v>672561</v>
      </c>
    </row>
    <row r="114" spans="1:5">
      <c r="A114">
        <v>2021</v>
      </c>
      <c r="B114" t="s">
        <v>16</v>
      </c>
      <c r="C114" t="s">
        <v>25</v>
      </c>
      <c r="D114">
        <v>561275</v>
      </c>
      <c r="E114">
        <v>-561275</v>
      </c>
    </row>
    <row r="115" spans="1:5">
      <c r="A115">
        <v>2021</v>
      </c>
      <c r="B115" t="s">
        <v>16</v>
      </c>
      <c r="C115" t="s">
        <v>26</v>
      </c>
      <c r="D115">
        <v>599493</v>
      </c>
      <c r="E115">
        <v>599493</v>
      </c>
    </row>
    <row r="116" spans="1:5">
      <c r="A116">
        <v>2021</v>
      </c>
      <c r="B116" t="s">
        <v>17</v>
      </c>
      <c r="C116" t="s">
        <v>25</v>
      </c>
      <c r="D116">
        <v>392637</v>
      </c>
      <c r="E116">
        <v>-392637</v>
      </c>
    </row>
    <row r="117" spans="1:5">
      <c r="A117">
        <v>2021</v>
      </c>
      <c r="B117" t="s">
        <v>17</v>
      </c>
      <c r="C117" t="s">
        <v>26</v>
      </c>
      <c r="D117">
        <v>429281</v>
      </c>
      <c r="E117">
        <v>429281</v>
      </c>
    </row>
    <row r="118" spans="1:5">
      <c r="A118">
        <v>2021</v>
      </c>
      <c r="B118" t="s">
        <v>18</v>
      </c>
      <c r="C118" t="s">
        <v>25</v>
      </c>
      <c r="D118">
        <v>252476</v>
      </c>
      <c r="E118">
        <v>-252476</v>
      </c>
    </row>
    <row r="119" spans="1:5">
      <c r="A119">
        <v>2021</v>
      </c>
      <c r="B119" t="s">
        <v>18</v>
      </c>
      <c r="C119" t="s">
        <v>26</v>
      </c>
      <c r="D119">
        <v>302129</v>
      </c>
      <c r="E119">
        <v>302129</v>
      </c>
    </row>
    <row r="120" spans="1:5">
      <c r="A120">
        <v>2021</v>
      </c>
      <c r="B120" t="s">
        <v>19</v>
      </c>
      <c r="C120" t="s">
        <v>25</v>
      </c>
      <c r="D120">
        <v>136936</v>
      </c>
      <c r="E120">
        <v>-136936</v>
      </c>
    </row>
    <row r="121" spans="1:5">
      <c r="A121">
        <v>2021</v>
      </c>
      <c r="B121" t="s">
        <v>19</v>
      </c>
      <c r="C121" t="s">
        <v>26</v>
      </c>
      <c r="D121">
        <v>191464</v>
      </c>
      <c r="E121">
        <v>191464</v>
      </c>
    </row>
    <row r="122" spans="1:5">
      <c r="A122">
        <v>2021</v>
      </c>
      <c r="B122" t="s">
        <v>20</v>
      </c>
      <c r="C122" t="s">
        <v>25</v>
      </c>
      <c r="D122">
        <v>59159</v>
      </c>
      <c r="E122">
        <v>-59159</v>
      </c>
    </row>
    <row r="123" spans="1:5">
      <c r="A123">
        <v>2021</v>
      </c>
      <c r="B123" t="s">
        <v>20</v>
      </c>
      <c r="C123" t="s">
        <v>26</v>
      </c>
      <c r="D123">
        <v>104199</v>
      </c>
      <c r="E123">
        <v>104199</v>
      </c>
    </row>
    <row r="124" spans="1:5">
      <c r="A124">
        <v>2021</v>
      </c>
      <c r="B124" t="s">
        <v>21</v>
      </c>
      <c r="C124" t="s">
        <v>25</v>
      </c>
      <c r="D124">
        <v>13179</v>
      </c>
      <c r="E124">
        <v>-13179</v>
      </c>
    </row>
    <row r="125" spans="1:5">
      <c r="A125">
        <v>2021</v>
      </c>
      <c r="B125" t="s">
        <v>21</v>
      </c>
      <c r="C125" t="s">
        <v>26</v>
      </c>
      <c r="D125">
        <v>31859</v>
      </c>
      <c r="E125">
        <v>31859</v>
      </c>
    </row>
    <row r="126" spans="1:5">
      <c r="A126">
        <v>2021</v>
      </c>
      <c r="B126" t="s">
        <v>4</v>
      </c>
      <c r="C126" t="s">
        <v>25</v>
      </c>
      <c r="D126">
        <v>1165</v>
      </c>
      <c r="E126">
        <v>-1165</v>
      </c>
    </row>
    <row r="127" spans="1:5">
      <c r="A127">
        <v>2021</v>
      </c>
      <c r="B127" t="s">
        <v>4</v>
      </c>
      <c r="C127" t="s">
        <v>26</v>
      </c>
      <c r="D127">
        <v>4384</v>
      </c>
      <c r="E127">
        <v>4384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Abbas Rizai</dc:creator>
  <cp:lastModifiedBy>Abbas Rizai</cp:lastModifiedBy>
  <dcterms:created xsi:type="dcterms:W3CDTF">2015-06-05T18:17:20Z</dcterms:created>
  <dcterms:modified xsi:type="dcterms:W3CDTF">2026-10-02T04:43:05Z</dcterms:modified>
</cp:coreProperties>
</file>